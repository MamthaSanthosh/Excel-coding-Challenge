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e7e0d919fa93194/Desktop/ENTRI PROJECT/EXCEL/"/>
    </mc:Choice>
  </mc:AlternateContent>
  <xr:revisionPtr revIDLastSave="267" documentId="8_{5C4EA09C-EC90-42B8-A8E9-16F6D3AB93F7}" xr6:coauthVersionLast="47" xr6:coauthVersionMax="47" xr10:uidLastSave="{71EDC7C2-5C9F-4C09-B47D-4C26750884B0}"/>
  <bookViews>
    <workbookView xWindow="-120" yWindow="-120" windowWidth="29040" windowHeight="15720" xr2:uid="{8D78FCB2-80E3-4370-9BDD-921E29ACC1EC}"/>
  </bookViews>
  <sheets>
    <sheet name="ASSIGNMENT 1 - Electronics" sheetId="1" r:id="rId1"/>
    <sheet name="FORMUL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C40" i="1"/>
  <c r="C39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C38" i="1"/>
  <c r="C37" i="1"/>
  <c r="C35" i="1"/>
  <c r="C34" i="1"/>
  <c r="C36" i="1" l="1"/>
</calcChain>
</file>

<file path=xl/sharedStrings.xml><?xml version="1.0" encoding="utf-8"?>
<sst xmlns="http://schemas.openxmlformats.org/spreadsheetml/2006/main" count="137" uniqueCount="100">
  <si>
    <t>PRODUCT_ID</t>
  </si>
  <si>
    <t>PRODUCT_NAME</t>
  </si>
  <si>
    <t>BRAND_NAME</t>
  </si>
  <si>
    <t>QUANTITY</t>
  </si>
  <si>
    <t>CATEGORIES</t>
  </si>
  <si>
    <t>PRICE</t>
  </si>
  <si>
    <t>Keyboard</t>
  </si>
  <si>
    <t>Mouse</t>
  </si>
  <si>
    <t>Monitor</t>
  </si>
  <si>
    <t>Headphones</t>
  </si>
  <si>
    <t>Laptop</t>
  </si>
  <si>
    <t>Smartphone</t>
  </si>
  <si>
    <t>Printer</t>
  </si>
  <si>
    <t>Tablet</t>
  </si>
  <si>
    <t>Smartwatch</t>
  </si>
  <si>
    <t>Desk chair</t>
  </si>
  <si>
    <t>Color Laser Printer</t>
  </si>
  <si>
    <t>Projector</t>
  </si>
  <si>
    <t>Electronics</t>
  </si>
  <si>
    <t>Microsoft</t>
  </si>
  <si>
    <t>HP</t>
  </si>
  <si>
    <t>Canon</t>
  </si>
  <si>
    <t>Boat</t>
  </si>
  <si>
    <t>Videocon</t>
  </si>
  <si>
    <t>Bose</t>
  </si>
  <si>
    <t>Lenovo</t>
  </si>
  <si>
    <t>Apex</t>
  </si>
  <si>
    <t>Philips</t>
  </si>
  <si>
    <t>Lab chair</t>
  </si>
  <si>
    <t>Leather Executive chair</t>
  </si>
  <si>
    <t>student chair</t>
  </si>
  <si>
    <t>visitor chair</t>
  </si>
  <si>
    <t>standing desk</t>
  </si>
  <si>
    <t>Furniture</t>
  </si>
  <si>
    <t>Lotus</t>
  </si>
  <si>
    <t>Cassina</t>
  </si>
  <si>
    <t>Kartell</t>
  </si>
  <si>
    <t>333MAR-FR</t>
  </si>
  <si>
    <t>304APR-ER</t>
  </si>
  <si>
    <t>465MAY-IS</t>
  </si>
  <si>
    <t>236JUN-IN</t>
  </si>
  <si>
    <t>237JUL-EU</t>
  </si>
  <si>
    <t>928AUG-HU</t>
  </si>
  <si>
    <t>349SEP-CI</t>
  </si>
  <si>
    <t>560OCT-FR</t>
  </si>
  <si>
    <t>231NOV-US</t>
  </si>
  <si>
    <t>892DEC-IN</t>
  </si>
  <si>
    <t>381JAN-JO</t>
  </si>
  <si>
    <t>352FEB-KE</t>
  </si>
  <si>
    <t>784APR-IE</t>
  </si>
  <si>
    <t>465MAY-IN</t>
  </si>
  <si>
    <t>236JUN-HT</t>
  </si>
  <si>
    <t>237JUL-CI</t>
  </si>
  <si>
    <t>928AUG-ID</t>
  </si>
  <si>
    <t>349SEP-IL</t>
  </si>
  <si>
    <t>530OCT-EU</t>
  </si>
  <si>
    <t>211NOV-CI</t>
  </si>
  <si>
    <t>802DEC-IR</t>
  </si>
  <si>
    <t>381JAN-ID</t>
  </si>
  <si>
    <t>352FEBIM</t>
  </si>
  <si>
    <t>352FEB-ID</t>
  </si>
  <si>
    <t>333MAR-JO</t>
  </si>
  <si>
    <t>304APR-CI</t>
  </si>
  <si>
    <t>381JAN-IN</t>
  </si>
  <si>
    <t>352FEB-US</t>
  </si>
  <si>
    <t>Butter</t>
  </si>
  <si>
    <t>Dairy</t>
  </si>
  <si>
    <t>Custard</t>
  </si>
  <si>
    <t>Milk</t>
  </si>
  <si>
    <t>Cheese</t>
  </si>
  <si>
    <t>Milk powder</t>
  </si>
  <si>
    <t>Baby Towel</t>
  </si>
  <si>
    <t>Johnson</t>
  </si>
  <si>
    <t>Baby Comb</t>
  </si>
  <si>
    <t>Baby Walker</t>
  </si>
  <si>
    <t>Baby Oil</t>
  </si>
  <si>
    <t>Himalaya</t>
  </si>
  <si>
    <t>Baby spoons</t>
  </si>
  <si>
    <t>Baby swing</t>
  </si>
  <si>
    <t>pendrive</t>
  </si>
  <si>
    <t>accessories</t>
  </si>
  <si>
    <t>sandisk</t>
  </si>
  <si>
    <t>mamaearth</t>
  </si>
  <si>
    <t>dove</t>
  </si>
  <si>
    <t>Amul</t>
  </si>
  <si>
    <t>Arla</t>
  </si>
  <si>
    <t>mee mee</t>
  </si>
  <si>
    <t>Flexispot</t>
  </si>
  <si>
    <t>Baby product</t>
  </si>
  <si>
    <t>1.TOTAL PRICE OF ALL PRODUCTS</t>
  </si>
  <si>
    <t>2.NUMBER OF PRODUCTS EXISTS</t>
  </si>
  <si>
    <t>3.AVERAGE PRICE</t>
  </si>
  <si>
    <t>4.MINIMUM PRICE</t>
  </si>
  <si>
    <t>5.MAXIMUM PRICE</t>
  </si>
  <si>
    <t>PRICE RANGE</t>
  </si>
  <si>
    <t>6 SUMIF FUNCTION</t>
  </si>
  <si>
    <t>7 COUNTIF FUNCTION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</si>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</sst>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sz val="12"/>
      <color theme="0"/>
      <name val="Calibri"/>
      <family val="2"/>
      <scheme val="minor"/>
    </font>
    <font>
      <sz val="12"/>
      <color rgb="FF006100"/>
      <name val="Calibri"/>
      <family val="2"/>
      <scheme val="minor"/>
    </font>
    <font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33CCCC"/>
        <bgColor indexed="64"/>
      </patternFill>
    </fill>
    <fill>
      <patternFill patternType="solid">
        <fgColor rgb="FFC6EFCE"/>
      </patternFill>
    </fill>
    <fill>
      <patternFill patternType="solid">
        <fgColor theme="9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8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5" fontId="4" fillId="0" borderId="5" xfId="0" applyNumberFormat="1" applyFont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NumberFormat="1" applyFont="1" applyBorder="1" applyAlignment="1">
      <alignment horizontal="center" vertical="center"/>
    </xf>
    <xf numFmtId="0" fontId="4" fillId="0" borderId="0" xfId="0" applyFont="1"/>
    <xf numFmtId="0" fontId="5" fillId="4" borderId="4" xfId="2" applyFont="1" applyBorder="1" applyAlignment="1">
      <alignment horizontal="center"/>
    </xf>
    <xf numFmtId="0" fontId="5" fillId="4" borderId="5" xfId="2" applyFont="1" applyBorder="1" applyAlignment="1">
      <alignment horizontal="center"/>
    </xf>
    <xf numFmtId="0" fontId="6" fillId="3" borderId="1" xfId="1" applyFont="1" applyBorder="1"/>
    <xf numFmtId="0" fontId="5" fillId="4" borderId="1" xfId="2" applyFont="1" applyBorder="1" applyAlignment="1">
      <alignment horizontal="center"/>
    </xf>
    <xf numFmtId="0" fontId="4" fillId="0" borderId="0" xfId="0" applyFont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0" borderId="0" xfId="0" applyFont="1" applyAlignment="1">
      <alignment horizontal="center"/>
    </xf>
  </cellXfs>
  <cellStyles count="3">
    <cellStyle name="Accent6" xfId="2" builtinId="49"/>
    <cellStyle name="Good" xfId="1" builtinId="26"/>
    <cellStyle name="Normal" xfId="0" builtinId="0"/>
  </cellStyles>
  <dxfs count="15"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rgb="FF33CCCC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190203</xdr:rowOff>
    </xdr:from>
    <xdr:to>
      <xdr:col>14</xdr:col>
      <xdr:colOff>200025</xdr:colOff>
      <xdr:row>30</xdr:row>
      <xdr:rowOff>950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1A71919-9F5F-6FA2-75F3-8894A9AFE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90203"/>
          <a:ext cx="8562975" cy="5525747"/>
        </a:xfrm>
        <a:prstGeom prst="rect">
          <a:avLst/>
        </a:prstGeom>
      </xdr:spPr>
    </xdr:pic>
    <xdr:clientData/>
  </xdr:twoCellAnchor>
  <xdr:twoCellAnchor editAs="oneCell">
    <xdr:from>
      <xdr:col>13</xdr:col>
      <xdr:colOff>384513</xdr:colOff>
      <xdr:row>1</xdr:row>
      <xdr:rowOff>0</xdr:rowOff>
    </xdr:from>
    <xdr:to>
      <xdr:col>27</xdr:col>
      <xdr:colOff>210933</xdr:colOff>
      <xdr:row>32</xdr:row>
      <xdr:rowOff>67663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F931314-1385-8C09-435E-1EB656A36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9313" y="190500"/>
          <a:ext cx="8360820" cy="59731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104775</xdr:rowOff>
    </xdr:from>
    <xdr:to>
      <xdr:col>14</xdr:col>
      <xdr:colOff>466725</xdr:colOff>
      <xdr:row>68</xdr:row>
      <xdr:rowOff>10559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FC9FAB9-D495-DA2A-EA27-D071E89FC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391275"/>
          <a:ext cx="9001125" cy="6573284"/>
        </a:xfrm>
        <a:prstGeom prst="rect">
          <a:avLst/>
        </a:prstGeom>
      </xdr:spPr>
    </xdr:pic>
    <xdr:clientData/>
  </xdr:twoCellAnchor>
  <xdr:twoCellAnchor editAs="oneCell">
    <xdr:from>
      <xdr:col>14</xdr:col>
      <xdr:colOff>285750</xdr:colOff>
      <xdr:row>30</xdr:row>
      <xdr:rowOff>135870</xdr:rowOff>
    </xdr:from>
    <xdr:to>
      <xdr:col>29</xdr:col>
      <xdr:colOff>496988</xdr:colOff>
      <xdr:row>59</xdr:row>
      <xdr:rowOff>77186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4C44D68-33EF-4930-9C3E-BC04DCA16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0150" y="5850870"/>
          <a:ext cx="9355238" cy="546581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E27723-4303-4E9B-8505-1AE43E3C0AFF}" name="Table1" displayName="Table1" ref="A1:J31" totalsRowShown="0" headerRowDxfId="0" dataDxfId="1" headerRowBorderDxfId="13" tableBorderDxfId="14" totalsRowBorderDxfId="12">
  <autoFilter ref="A1:J31" xr:uid="{1DE27723-4303-4E9B-8505-1AE43E3C0AFF}"/>
  <tableColumns count="10">
    <tableColumn id="1" xr3:uid="{569DF0AD-33B7-4298-92DB-DA50F76E19E1}" name="PRODUCT_ID" dataDxfId="11"/>
    <tableColumn id="2" xr3:uid="{CE0F639D-12F6-4575-977D-FF9E837F2280}" name="PRODUCT_NAME" dataDxfId="10"/>
    <tableColumn id="3" xr3:uid="{4E73FC13-FBCC-40B1-951A-4F82EA4C65B4}" name="BRAND_NAME" dataDxfId="9"/>
    <tableColumn id="4" xr3:uid="{4E7704D0-84E5-4B5B-9708-E4AE6DF40F30}" name="QUANTITY" dataDxfId="8"/>
    <tableColumn id="5" xr3:uid="{FCAE0FDD-F658-4FED-BAE8-8E7E4219BE02}" name="CATEGORIES" dataDxfId="7"/>
    <tableColumn id="6" xr3:uid="{7B868561-941F-48B5-A1CC-B4DDFBA9756C}" name="PRICE" dataDxfId="6"/>
    <tableColumn id="7" xr3:uid="{5234976C-5844-434D-9AC2-5496EC0E83AD}" name="PRICE RANGE" dataDxfId="5">
      <calculatedColumnFormula>IF(F2&gt;=500,"HIGH PRICE","STANDARD PRICE")</calculatedColumnFormula>
    </tableColumn>
    <tableColumn id="8" xr3:uid="{79EB076C-0083-4D1E-B837-2899CD7F4FDF}" name="DAY" dataDxfId="4">
      <calculatedColumnFormula>LEFT(A2,2)</calculatedColumnFormula>
    </tableColumn>
    <tableColumn id="9" xr3:uid="{78364F63-FC0D-4495-B24C-AB3B731A2E0E}" name="COUNTRY CODE" dataDxfId="3">
      <calculatedColumnFormula>RIGHT(A2,2)</calculatedColumnFormula>
    </tableColumn>
    <tableColumn id="10" xr3:uid="{8EF25D87-7A00-4E70-93FD-0D69D8D0D652}" name="MONTH" dataDxfId="2">
      <calculatedColumnFormula>MID(A2,4,3)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B1434-6755-4DA3-92FB-63EDAEA3FC71}">
  <dimension ref="A1:J41"/>
  <sheetViews>
    <sheetView tabSelected="1" workbookViewId="0">
      <selection activeCell="L5" sqref="L5"/>
    </sheetView>
  </sheetViews>
  <sheetFormatPr defaultRowHeight="15.75" x14ac:dyDescent="0.25"/>
  <cols>
    <col min="1" max="1" width="24.140625" style="8" bestFit="1" customWidth="1"/>
    <col min="2" max="2" width="29.5703125" style="8" bestFit="1" customWidth="1"/>
    <col min="3" max="3" width="25.5703125" style="8" bestFit="1" customWidth="1"/>
    <col min="4" max="4" width="20.42578125" style="8" bestFit="1" customWidth="1"/>
    <col min="5" max="5" width="26.42578125" style="8" bestFit="1" customWidth="1"/>
    <col min="6" max="6" width="14.42578125" style="8" bestFit="1" customWidth="1"/>
    <col min="7" max="7" width="25.28515625" style="8" bestFit="1" customWidth="1"/>
    <col min="8" max="8" width="11.5703125" style="8" bestFit="1" customWidth="1"/>
    <col min="9" max="9" width="28.7109375" style="8" bestFit="1" customWidth="1"/>
    <col min="10" max="10" width="16.42578125" style="8" bestFit="1" customWidth="1"/>
    <col min="11" max="16384" width="9.140625" style="8"/>
  </cols>
  <sheetData>
    <row r="1" spans="1:10" s="17" customFormat="1" ht="18.75" x14ac:dyDescent="0.3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94</v>
      </c>
      <c r="H1" s="15" t="s">
        <v>97</v>
      </c>
      <c r="I1" s="15" t="s">
        <v>98</v>
      </c>
      <c r="J1" s="16" t="s">
        <v>99</v>
      </c>
    </row>
    <row r="2" spans="1:10" ht="20.100000000000001" customHeight="1" x14ac:dyDescent="0.25">
      <c r="A2" s="3" t="s">
        <v>63</v>
      </c>
      <c r="B2" s="1" t="s">
        <v>6</v>
      </c>
      <c r="C2" s="1" t="s">
        <v>19</v>
      </c>
      <c r="D2" s="1">
        <v>20</v>
      </c>
      <c r="E2" s="1" t="s">
        <v>18</v>
      </c>
      <c r="F2" s="1">
        <v>130</v>
      </c>
      <c r="G2" s="1" t="str">
        <f t="shared" ref="G2:G31" si="0">IF(F2&gt;=500,"HIGH PRICE","STANDARD PRICE")</f>
        <v>STANDARD PRICE</v>
      </c>
      <c r="H2" s="1" t="str">
        <f t="shared" ref="H2:H31" si="1">LEFT(A2,2)</f>
        <v>38</v>
      </c>
      <c r="I2" s="1" t="str">
        <f t="shared" ref="I2:I31" si="2">RIGHT(A2,2)</f>
        <v>IN</v>
      </c>
      <c r="J2" s="4" t="str">
        <f t="shared" ref="J2:J31" si="3">MID(A2,4,3)</f>
        <v>JAN</v>
      </c>
    </row>
    <row r="3" spans="1:10" ht="20.100000000000001" customHeight="1" x14ac:dyDescent="0.25">
      <c r="A3" s="3" t="s">
        <v>64</v>
      </c>
      <c r="B3" s="1" t="s">
        <v>28</v>
      </c>
      <c r="C3" s="1" t="s">
        <v>34</v>
      </c>
      <c r="D3" s="1">
        <v>39</v>
      </c>
      <c r="E3" s="1" t="s">
        <v>33</v>
      </c>
      <c r="F3" s="1">
        <v>600</v>
      </c>
      <c r="G3" s="1" t="str">
        <f t="shared" si="0"/>
        <v>HIGH PRICE</v>
      </c>
      <c r="H3" s="1" t="str">
        <f t="shared" si="1"/>
        <v>35</v>
      </c>
      <c r="I3" s="1" t="str">
        <f t="shared" si="2"/>
        <v>US</v>
      </c>
      <c r="J3" s="4" t="str">
        <f t="shared" si="3"/>
        <v>FEB</v>
      </c>
    </row>
    <row r="4" spans="1:10" ht="20.100000000000001" customHeight="1" x14ac:dyDescent="0.25">
      <c r="A4" s="5" t="s">
        <v>37</v>
      </c>
      <c r="B4" s="1" t="s">
        <v>8</v>
      </c>
      <c r="C4" s="1" t="s">
        <v>27</v>
      </c>
      <c r="D4" s="1">
        <v>25</v>
      </c>
      <c r="E4" s="1" t="s">
        <v>18</v>
      </c>
      <c r="F4" s="1">
        <v>2500</v>
      </c>
      <c r="G4" s="1" t="str">
        <f t="shared" si="0"/>
        <v>HIGH PRICE</v>
      </c>
      <c r="H4" s="1" t="str">
        <f t="shared" si="1"/>
        <v>33</v>
      </c>
      <c r="I4" s="1" t="str">
        <f t="shared" si="2"/>
        <v>FR</v>
      </c>
      <c r="J4" s="4" t="str">
        <f t="shared" si="3"/>
        <v>MAR</v>
      </c>
    </row>
    <row r="5" spans="1:10" ht="20.100000000000001" customHeight="1" x14ac:dyDescent="0.25">
      <c r="A5" s="5" t="s">
        <v>38</v>
      </c>
      <c r="B5" s="1" t="s">
        <v>65</v>
      </c>
      <c r="C5" s="1" t="s">
        <v>84</v>
      </c>
      <c r="D5" s="1">
        <v>40</v>
      </c>
      <c r="E5" s="1" t="s">
        <v>66</v>
      </c>
      <c r="F5" s="1">
        <v>160</v>
      </c>
      <c r="G5" s="1" t="str">
        <f t="shared" si="0"/>
        <v>STANDARD PRICE</v>
      </c>
      <c r="H5" s="1" t="str">
        <f t="shared" si="1"/>
        <v>30</v>
      </c>
      <c r="I5" s="1" t="str">
        <f t="shared" si="2"/>
        <v>ER</v>
      </c>
      <c r="J5" s="4" t="str">
        <f t="shared" si="3"/>
        <v>APR</v>
      </c>
    </row>
    <row r="6" spans="1:10" ht="20.100000000000001" customHeight="1" x14ac:dyDescent="0.25">
      <c r="A6" s="5" t="s">
        <v>39</v>
      </c>
      <c r="B6" s="1" t="s">
        <v>10</v>
      </c>
      <c r="C6" s="1" t="s">
        <v>19</v>
      </c>
      <c r="D6" s="1">
        <v>50</v>
      </c>
      <c r="E6" s="1" t="s">
        <v>18</v>
      </c>
      <c r="F6" s="1">
        <v>45000</v>
      </c>
      <c r="G6" s="1" t="str">
        <f t="shared" si="0"/>
        <v>HIGH PRICE</v>
      </c>
      <c r="H6" s="1" t="str">
        <f t="shared" si="1"/>
        <v>46</v>
      </c>
      <c r="I6" s="1" t="str">
        <f t="shared" si="2"/>
        <v>IS</v>
      </c>
      <c r="J6" s="4" t="str">
        <f t="shared" si="3"/>
        <v>MAY</v>
      </c>
    </row>
    <row r="7" spans="1:10" ht="20.100000000000001" customHeight="1" x14ac:dyDescent="0.25">
      <c r="A7" s="5" t="s">
        <v>40</v>
      </c>
      <c r="B7" s="1" t="s">
        <v>11</v>
      </c>
      <c r="C7" s="1" t="s">
        <v>25</v>
      </c>
      <c r="D7" s="1">
        <v>20</v>
      </c>
      <c r="E7" s="1" t="s">
        <v>18</v>
      </c>
      <c r="F7" s="1">
        <v>40000</v>
      </c>
      <c r="G7" s="1" t="str">
        <f t="shared" si="0"/>
        <v>HIGH PRICE</v>
      </c>
      <c r="H7" s="1" t="str">
        <f t="shared" si="1"/>
        <v>23</v>
      </c>
      <c r="I7" s="1" t="str">
        <f t="shared" si="2"/>
        <v>IN</v>
      </c>
      <c r="J7" s="4" t="str">
        <f t="shared" si="3"/>
        <v>JUN</v>
      </c>
    </row>
    <row r="8" spans="1:10" ht="20.100000000000001" customHeight="1" x14ac:dyDescent="0.25">
      <c r="A8" s="5" t="s">
        <v>41</v>
      </c>
      <c r="B8" s="1" t="s">
        <v>29</v>
      </c>
      <c r="C8" s="1" t="s">
        <v>35</v>
      </c>
      <c r="D8" s="1">
        <v>25</v>
      </c>
      <c r="E8" s="1" t="s">
        <v>33</v>
      </c>
      <c r="F8" s="1">
        <v>3600</v>
      </c>
      <c r="G8" s="1" t="str">
        <f t="shared" si="0"/>
        <v>HIGH PRICE</v>
      </c>
      <c r="H8" s="1" t="str">
        <f t="shared" si="1"/>
        <v>23</v>
      </c>
      <c r="I8" s="1" t="str">
        <f t="shared" si="2"/>
        <v>EU</v>
      </c>
      <c r="J8" s="4" t="str">
        <f t="shared" si="3"/>
        <v>JUL</v>
      </c>
    </row>
    <row r="9" spans="1:10" ht="20.100000000000001" customHeight="1" x14ac:dyDescent="0.25">
      <c r="A9" s="5" t="s">
        <v>42</v>
      </c>
      <c r="B9" s="1" t="s">
        <v>13</v>
      </c>
      <c r="C9" s="1" t="s">
        <v>24</v>
      </c>
      <c r="D9" s="1">
        <v>11</v>
      </c>
      <c r="E9" s="1" t="s">
        <v>18</v>
      </c>
      <c r="F9" s="1">
        <v>54000</v>
      </c>
      <c r="G9" s="1" t="str">
        <f t="shared" si="0"/>
        <v>HIGH PRICE</v>
      </c>
      <c r="H9" s="1" t="str">
        <f t="shared" si="1"/>
        <v>92</v>
      </c>
      <c r="I9" s="1" t="str">
        <f t="shared" si="2"/>
        <v>HU</v>
      </c>
      <c r="J9" s="4" t="str">
        <f t="shared" si="3"/>
        <v>AUG</v>
      </c>
    </row>
    <row r="10" spans="1:10" ht="20.100000000000001" customHeight="1" x14ac:dyDescent="0.25">
      <c r="A10" s="5" t="s">
        <v>43</v>
      </c>
      <c r="B10" s="1" t="s">
        <v>67</v>
      </c>
      <c r="C10" s="1" t="s">
        <v>84</v>
      </c>
      <c r="D10" s="1">
        <v>29</v>
      </c>
      <c r="E10" s="1" t="s">
        <v>66</v>
      </c>
      <c r="F10" s="1">
        <v>300</v>
      </c>
      <c r="G10" s="1" t="str">
        <f t="shared" si="0"/>
        <v>STANDARD PRICE</v>
      </c>
      <c r="H10" s="1" t="str">
        <f t="shared" si="1"/>
        <v>34</v>
      </c>
      <c r="I10" s="1" t="str">
        <f t="shared" si="2"/>
        <v>CI</v>
      </c>
      <c r="J10" s="4" t="str">
        <f t="shared" si="3"/>
        <v>SEP</v>
      </c>
    </row>
    <row r="11" spans="1:10" ht="20.100000000000001" customHeight="1" x14ac:dyDescent="0.25">
      <c r="A11" s="5" t="s">
        <v>44</v>
      </c>
      <c r="B11" s="1" t="s">
        <v>15</v>
      </c>
      <c r="C11" s="1" t="s">
        <v>26</v>
      </c>
      <c r="D11" s="1">
        <v>30</v>
      </c>
      <c r="E11" s="1" t="s">
        <v>18</v>
      </c>
      <c r="F11" s="1">
        <v>12000</v>
      </c>
      <c r="G11" s="1" t="str">
        <f t="shared" si="0"/>
        <v>HIGH PRICE</v>
      </c>
      <c r="H11" s="1" t="str">
        <f t="shared" si="1"/>
        <v>56</v>
      </c>
      <c r="I11" s="1" t="str">
        <f t="shared" si="2"/>
        <v>FR</v>
      </c>
      <c r="J11" s="4" t="str">
        <f t="shared" si="3"/>
        <v>OCT</v>
      </c>
    </row>
    <row r="12" spans="1:10" ht="20.100000000000001" customHeight="1" x14ac:dyDescent="0.25">
      <c r="A12" s="5" t="s">
        <v>45</v>
      </c>
      <c r="B12" s="1" t="s">
        <v>71</v>
      </c>
      <c r="C12" s="1" t="s">
        <v>72</v>
      </c>
      <c r="D12" s="1">
        <v>5</v>
      </c>
      <c r="E12" s="1" t="s">
        <v>88</v>
      </c>
      <c r="F12" s="1">
        <v>400</v>
      </c>
      <c r="G12" s="1" t="str">
        <f t="shared" si="0"/>
        <v>STANDARD PRICE</v>
      </c>
      <c r="H12" s="1" t="str">
        <f t="shared" si="1"/>
        <v>23</v>
      </c>
      <c r="I12" s="1" t="str">
        <f t="shared" si="2"/>
        <v>US</v>
      </c>
      <c r="J12" s="4" t="str">
        <f t="shared" si="3"/>
        <v>NOV</v>
      </c>
    </row>
    <row r="13" spans="1:10" ht="20.100000000000001" customHeight="1" x14ac:dyDescent="0.25">
      <c r="A13" s="5" t="s">
        <v>46</v>
      </c>
      <c r="B13" s="1" t="s">
        <v>68</v>
      </c>
      <c r="C13" s="1" t="s">
        <v>84</v>
      </c>
      <c r="D13" s="1">
        <v>30</v>
      </c>
      <c r="E13" s="1" t="s">
        <v>66</v>
      </c>
      <c r="F13" s="1">
        <v>40</v>
      </c>
      <c r="G13" s="1" t="str">
        <f t="shared" si="0"/>
        <v>STANDARD PRICE</v>
      </c>
      <c r="H13" s="1" t="str">
        <f t="shared" si="1"/>
        <v>89</v>
      </c>
      <c r="I13" s="1" t="str">
        <f t="shared" si="2"/>
        <v>IN</v>
      </c>
      <c r="J13" s="4" t="str">
        <f t="shared" si="3"/>
        <v>DEC</v>
      </c>
    </row>
    <row r="14" spans="1:10" ht="20.100000000000001" customHeight="1" x14ac:dyDescent="0.25">
      <c r="A14" s="3" t="s">
        <v>47</v>
      </c>
      <c r="B14" s="1" t="s">
        <v>73</v>
      </c>
      <c r="C14" s="1" t="s">
        <v>72</v>
      </c>
      <c r="D14" s="1">
        <v>3</v>
      </c>
      <c r="E14" s="1" t="s">
        <v>88</v>
      </c>
      <c r="F14" s="1">
        <v>220</v>
      </c>
      <c r="G14" s="1" t="str">
        <f t="shared" si="0"/>
        <v>STANDARD PRICE</v>
      </c>
      <c r="H14" s="1" t="str">
        <f t="shared" si="1"/>
        <v>38</v>
      </c>
      <c r="I14" s="1" t="str">
        <f t="shared" si="2"/>
        <v>JO</v>
      </c>
      <c r="J14" s="4" t="str">
        <f t="shared" si="3"/>
        <v>JAN</v>
      </c>
    </row>
    <row r="15" spans="1:10" ht="20.100000000000001" customHeight="1" x14ac:dyDescent="0.25">
      <c r="A15" s="3" t="s">
        <v>48</v>
      </c>
      <c r="B15" s="1" t="s">
        <v>7</v>
      </c>
      <c r="C15" s="1" t="s">
        <v>23</v>
      </c>
      <c r="D15" s="1">
        <v>20</v>
      </c>
      <c r="E15" s="1" t="s">
        <v>18</v>
      </c>
      <c r="F15" s="1">
        <v>130</v>
      </c>
      <c r="G15" s="1" t="str">
        <f t="shared" si="0"/>
        <v>STANDARD PRICE</v>
      </c>
      <c r="H15" s="1" t="str">
        <f t="shared" si="1"/>
        <v>35</v>
      </c>
      <c r="I15" s="1" t="str">
        <f t="shared" si="2"/>
        <v>KE</v>
      </c>
      <c r="J15" s="4" t="str">
        <f t="shared" si="3"/>
        <v>FEB</v>
      </c>
    </row>
    <row r="16" spans="1:10" ht="20.100000000000001" customHeight="1" x14ac:dyDescent="0.25">
      <c r="A16" s="5" t="s">
        <v>37</v>
      </c>
      <c r="B16" s="1" t="s">
        <v>30</v>
      </c>
      <c r="C16" s="1" t="s">
        <v>36</v>
      </c>
      <c r="D16" s="1">
        <v>50</v>
      </c>
      <c r="E16" s="1" t="s">
        <v>33</v>
      </c>
      <c r="F16" s="1">
        <v>1500</v>
      </c>
      <c r="G16" s="1" t="str">
        <f t="shared" si="0"/>
        <v>HIGH PRICE</v>
      </c>
      <c r="H16" s="1" t="str">
        <f t="shared" si="1"/>
        <v>33</v>
      </c>
      <c r="I16" s="1" t="str">
        <f t="shared" si="2"/>
        <v>FR</v>
      </c>
      <c r="J16" s="4" t="str">
        <f t="shared" si="3"/>
        <v>MAR</v>
      </c>
    </row>
    <row r="17" spans="1:10" ht="20.100000000000001" customHeight="1" x14ac:dyDescent="0.25">
      <c r="A17" s="5" t="s">
        <v>49</v>
      </c>
      <c r="B17" s="1" t="s">
        <v>74</v>
      </c>
      <c r="C17" s="1" t="s">
        <v>83</v>
      </c>
      <c r="D17" s="1">
        <v>1</v>
      </c>
      <c r="E17" s="1" t="s">
        <v>88</v>
      </c>
      <c r="F17" s="1">
        <v>800</v>
      </c>
      <c r="G17" s="1" t="str">
        <f t="shared" si="0"/>
        <v>HIGH PRICE</v>
      </c>
      <c r="H17" s="1" t="str">
        <f t="shared" si="1"/>
        <v>78</v>
      </c>
      <c r="I17" s="1" t="str">
        <f t="shared" si="2"/>
        <v>IE</v>
      </c>
      <c r="J17" s="4" t="str">
        <f t="shared" si="3"/>
        <v>APR</v>
      </c>
    </row>
    <row r="18" spans="1:10" ht="20.100000000000001" customHeight="1" x14ac:dyDescent="0.25">
      <c r="A18" s="5" t="s">
        <v>50</v>
      </c>
      <c r="B18" s="1" t="s">
        <v>9</v>
      </c>
      <c r="C18" s="1" t="s">
        <v>22</v>
      </c>
      <c r="D18" s="1">
        <v>23</v>
      </c>
      <c r="E18" s="1" t="s">
        <v>18</v>
      </c>
      <c r="F18" s="1">
        <v>600</v>
      </c>
      <c r="G18" s="1" t="str">
        <f t="shared" si="0"/>
        <v>HIGH PRICE</v>
      </c>
      <c r="H18" s="1" t="str">
        <f t="shared" si="1"/>
        <v>46</v>
      </c>
      <c r="I18" s="1" t="str">
        <f t="shared" si="2"/>
        <v>IN</v>
      </c>
      <c r="J18" s="4" t="str">
        <f t="shared" si="3"/>
        <v>MAY</v>
      </c>
    </row>
    <row r="19" spans="1:10" ht="20.100000000000001" customHeight="1" x14ac:dyDescent="0.25">
      <c r="A19" s="5" t="s">
        <v>51</v>
      </c>
      <c r="B19" s="1" t="s">
        <v>32</v>
      </c>
      <c r="C19" s="1" t="s">
        <v>87</v>
      </c>
      <c r="D19" s="1">
        <v>23</v>
      </c>
      <c r="E19" s="1" t="s">
        <v>33</v>
      </c>
      <c r="F19" s="1">
        <v>2250</v>
      </c>
      <c r="G19" s="1" t="str">
        <f t="shared" si="0"/>
        <v>HIGH PRICE</v>
      </c>
      <c r="H19" s="1" t="str">
        <f t="shared" si="1"/>
        <v>23</v>
      </c>
      <c r="I19" s="1" t="str">
        <f t="shared" si="2"/>
        <v>HT</v>
      </c>
      <c r="J19" s="4" t="str">
        <f t="shared" si="3"/>
        <v>JUN</v>
      </c>
    </row>
    <row r="20" spans="1:10" ht="20.100000000000001" customHeight="1" x14ac:dyDescent="0.25">
      <c r="A20" s="5" t="s">
        <v>52</v>
      </c>
      <c r="B20" s="1" t="s">
        <v>75</v>
      </c>
      <c r="C20" s="1" t="s">
        <v>76</v>
      </c>
      <c r="D20" s="1">
        <v>3</v>
      </c>
      <c r="E20" s="1" t="s">
        <v>88</v>
      </c>
      <c r="F20" s="1">
        <v>180</v>
      </c>
      <c r="G20" s="1" t="str">
        <f t="shared" si="0"/>
        <v>STANDARD PRICE</v>
      </c>
      <c r="H20" s="1" t="str">
        <f t="shared" si="1"/>
        <v>23</v>
      </c>
      <c r="I20" s="1" t="str">
        <f t="shared" si="2"/>
        <v>CI</v>
      </c>
      <c r="J20" s="4" t="str">
        <f t="shared" si="3"/>
        <v>JUL</v>
      </c>
    </row>
    <row r="21" spans="1:10" ht="20.100000000000001" customHeight="1" x14ac:dyDescent="0.25">
      <c r="A21" s="5" t="s">
        <v>53</v>
      </c>
      <c r="B21" s="1" t="s">
        <v>17</v>
      </c>
      <c r="C21" s="1" t="s">
        <v>21</v>
      </c>
      <c r="D21" s="1">
        <v>10</v>
      </c>
      <c r="E21" s="1" t="s">
        <v>18</v>
      </c>
      <c r="F21" s="1">
        <v>3000</v>
      </c>
      <c r="G21" s="1" t="str">
        <f t="shared" si="0"/>
        <v>HIGH PRICE</v>
      </c>
      <c r="H21" s="1" t="str">
        <f t="shared" si="1"/>
        <v>92</v>
      </c>
      <c r="I21" s="1" t="str">
        <f t="shared" si="2"/>
        <v>ID</v>
      </c>
      <c r="J21" s="4" t="str">
        <f t="shared" si="3"/>
        <v>AUG</v>
      </c>
    </row>
    <row r="22" spans="1:10" ht="20.100000000000001" customHeight="1" x14ac:dyDescent="0.25">
      <c r="A22" s="5" t="s">
        <v>54</v>
      </c>
      <c r="B22" s="1" t="s">
        <v>31</v>
      </c>
      <c r="C22" s="1" t="s">
        <v>87</v>
      </c>
      <c r="D22" s="1">
        <v>13</v>
      </c>
      <c r="E22" s="1" t="s">
        <v>33</v>
      </c>
      <c r="F22" s="1">
        <v>2500</v>
      </c>
      <c r="G22" s="1" t="str">
        <f t="shared" si="0"/>
        <v>HIGH PRICE</v>
      </c>
      <c r="H22" s="1" t="str">
        <f t="shared" si="1"/>
        <v>34</v>
      </c>
      <c r="I22" s="1" t="str">
        <f t="shared" si="2"/>
        <v>IL</v>
      </c>
      <c r="J22" s="4" t="str">
        <f t="shared" si="3"/>
        <v>SEP</v>
      </c>
    </row>
    <row r="23" spans="1:10" ht="20.100000000000001" customHeight="1" x14ac:dyDescent="0.25">
      <c r="A23" s="5" t="s">
        <v>55</v>
      </c>
      <c r="B23" s="1" t="s">
        <v>69</v>
      </c>
      <c r="C23" s="1" t="s">
        <v>85</v>
      </c>
      <c r="D23" s="1">
        <v>20</v>
      </c>
      <c r="E23" s="1" t="s">
        <v>66</v>
      </c>
      <c r="F23" s="1">
        <v>320</v>
      </c>
      <c r="G23" s="1" t="str">
        <f t="shared" si="0"/>
        <v>STANDARD PRICE</v>
      </c>
      <c r="H23" s="1" t="str">
        <f t="shared" si="1"/>
        <v>53</v>
      </c>
      <c r="I23" s="1" t="str">
        <f t="shared" si="2"/>
        <v>EU</v>
      </c>
      <c r="J23" s="4" t="str">
        <f t="shared" si="3"/>
        <v>OCT</v>
      </c>
    </row>
    <row r="24" spans="1:10" ht="20.100000000000001" customHeight="1" x14ac:dyDescent="0.25">
      <c r="A24" s="5" t="s">
        <v>56</v>
      </c>
      <c r="B24" s="1" t="s">
        <v>12</v>
      </c>
      <c r="C24" s="1" t="s">
        <v>21</v>
      </c>
      <c r="D24" s="1">
        <v>5</v>
      </c>
      <c r="E24" s="1" t="s">
        <v>18</v>
      </c>
      <c r="F24" s="1">
        <v>7000</v>
      </c>
      <c r="G24" s="1" t="str">
        <f t="shared" si="0"/>
        <v>HIGH PRICE</v>
      </c>
      <c r="H24" s="1" t="str">
        <f t="shared" si="1"/>
        <v>21</v>
      </c>
      <c r="I24" s="1" t="str">
        <f t="shared" si="2"/>
        <v>CI</v>
      </c>
      <c r="J24" s="4" t="str">
        <f t="shared" si="3"/>
        <v>NOV</v>
      </c>
    </row>
    <row r="25" spans="1:10" ht="20.100000000000001" customHeight="1" x14ac:dyDescent="0.25">
      <c r="A25" s="5" t="s">
        <v>57</v>
      </c>
      <c r="B25" s="1" t="s">
        <v>77</v>
      </c>
      <c r="C25" s="1" t="s">
        <v>86</v>
      </c>
      <c r="D25" s="1">
        <v>3</v>
      </c>
      <c r="E25" s="1" t="s">
        <v>88</v>
      </c>
      <c r="F25" s="1">
        <v>30</v>
      </c>
      <c r="G25" s="1" t="str">
        <f t="shared" si="0"/>
        <v>STANDARD PRICE</v>
      </c>
      <c r="H25" s="1" t="str">
        <f t="shared" si="1"/>
        <v>80</v>
      </c>
      <c r="I25" s="1" t="str">
        <f t="shared" si="2"/>
        <v>IR</v>
      </c>
      <c r="J25" s="4" t="str">
        <f t="shared" si="3"/>
        <v>DEC</v>
      </c>
    </row>
    <row r="26" spans="1:10" ht="20.100000000000001" customHeight="1" x14ac:dyDescent="0.25">
      <c r="A26" s="3" t="s">
        <v>58</v>
      </c>
      <c r="B26" s="1" t="s">
        <v>70</v>
      </c>
      <c r="C26" s="1" t="s">
        <v>85</v>
      </c>
      <c r="D26" s="1">
        <v>3</v>
      </c>
      <c r="E26" s="1" t="s">
        <v>66</v>
      </c>
      <c r="F26" s="1">
        <v>60</v>
      </c>
      <c r="G26" s="1" t="str">
        <f t="shared" si="0"/>
        <v>STANDARD PRICE</v>
      </c>
      <c r="H26" s="1" t="str">
        <f t="shared" si="1"/>
        <v>38</v>
      </c>
      <c r="I26" s="1" t="str">
        <f t="shared" si="2"/>
        <v>ID</v>
      </c>
      <c r="J26" s="4" t="str">
        <f t="shared" si="3"/>
        <v>JAN</v>
      </c>
    </row>
    <row r="27" spans="1:10" ht="20.100000000000001" customHeight="1" x14ac:dyDescent="0.25">
      <c r="A27" s="3" t="s">
        <v>59</v>
      </c>
      <c r="B27" s="1" t="s">
        <v>71</v>
      </c>
      <c r="C27" s="1" t="s">
        <v>86</v>
      </c>
      <c r="D27" s="1">
        <v>7</v>
      </c>
      <c r="E27" s="1" t="s">
        <v>88</v>
      </c>
      <c r="F27" s="1">
        <v>300</v>
      </c>
      <c r="G27" s="1" t="str">
        <f t="shared" si="0"/>
        <v>STANDARD PRICE</v>
      </c>
      <c r="H27" s="1" t="str">
        <f t="shared" si="1"/>
        <v>35</v>
      </c>
      <c r="I27" s="1" t="str">
        <f t="shared" si="2"/>
        <v>IM</v>
      </c>
      <c r="J27" s="4" t="str">
        <f t="shared" si="3"/>
        <v>FEB</v>
      </c>
    </row>
    <row r="28" spans="1:10" ht="20.100000000000001" customHeight="1" x14ac:dyDescent="0.25">
      <c r="A28" s="3" t="s">
        <v>47</v>
      </c>
      <c r="B28" s="1" t="s">
        <v>14</v>
      </c>
      <c r="C28" s="1" t="s">
        <v>19</v>
      </c>
      <c r="D28" s="1">
        <v>45</v>
      </c>
      <c r="E28" s="1" t="s">
        <v>18</v>
      </c>
      <c r="F28" s="1">
        <v>500</v>
      </c>
      <c r="G28" s="1" t="str">
        <f t="shared" si="0"/>
        <v>HIGH PRICE</v>
      </c>
      <c r="H28" s="1" t="str">
        <f t="shared" si="1"/>
        <v>38</v>
      </c>
      <c r="I28" s="1" t="str">
        <f t="shared" si="2"/>
        <v>JO</v>
      </c>
      <c r="J28" s="4" t="str">
        <f t="shared" si="3"/>
        <v>JAN</v>
      </c>
    </row>
    <row r="29" spans="1:10" ht="20.100000000000001" customHeight="1" x14ac:dyDescent="0.25">
      <c r="A29" s="3" t="s">
        <v>60</v>
      </c>
      <c r="B29" s="1" t="s">
        <v>16</v>
      </c>
      <c r="C29" s="1" t="s">
        <v>20</v>
      </c>
      <c r="D29" s="1">
        <v>5</v>
      </c>
      <c r="E29" s="1" t="s">
        <v>18</v>
      </c>
      <c r="F29" s="1">
        <v>8000</v>
      </c>
      <c r="G29" s="1" t="str">
        <f t="shared" si="0"/>
        <v>HIGH PRICE</v>
      </c>
      <c r="H29" s="1" t="str">
        <f t="shared" si="1"/>
        <v>35</v>
      </c>
      <c r="I29" s="1" t="str">
        <f t="shared" si="2"/>
        <v>ID</v>
      </c>
      <c r="J29" s="4" t="str">
        <f t="shared" si="3"/>
        <v>FEB</v>
      </c>
    </row>
    <row r="30" spans="1:10" ht="20.100000000000001" customHeight="1" x14ac:dyDescent="0.25">
      <c r="A30" s="5" t="s">
        <v>61</v>
      </c>
      <c r="B30" s="1" t="s">
        <v>78</v>
      </c>
      <c r="C30" s="1" t="s">
        <v>82</v>
      </c>
      <c r="D30" s="1">
        <v>2</v>
      </c>
      <c r="E30" s="1" t="s">
        <v>88</v>
      </c>
      <c r="F30" s="1">
        <v>900</v>
      </c>
      <c r="G30" s="1" t="str">
        <f t="shared" si="0"/>
        <v>HIGH PRICE</v>
      </c>
      <c r="H30" s="1" t="str">
        <f t="shared" si="1"/>
        <v>33</v>
      </c>
      <c r="I30" s="1" t="str">
        <f t="shared" si="2"/>
        <v>JO</v>
      </c>
      <c r="J30" s="4" t="str">
        <f t="shared" si="3"/>
        <v>MAR</v>
      </c>
    </row>
    <row r="31" spans="1:10" ht="20.100000000000001" customHeight="1" x14ac:dyDescent="0.25">
      <c r="A31" s="6" t="s">
        <v>62</v>
      </c>
      <c r="B31" s="2" t="s">
        <v>79</v>
      </c>
      <c r="C31" s="2" t="s">
        <v>81</v>
      </c>
      <c r="D31" s="2">
        <v>20</v>
      </c>
      <c r="E31" s="2" t="s">
        <v>80</v>
      </c>
      <c r="F31" s="2">
        <v>450</v>
      </c>
      <c r="G31" s="2" t="str">
        <f t="shared" si="0"/>
        <v>STANDARD PRICE</v>
      </c>
      <c r="H31" s="2" t="str">
        <f t="shared" si="1"/>
        <v>30</v>
      </c>
      <c r="I31" s="2" t="str">
        <f t="shared" si="2"/>
        <v>CI</v>
      </c>
      <c r="J31" s="7" t="str">
        <f t="shared" si="3"/>
        <v>APR</v>
      </c>
    </row>
    <row r="34" spans="1:3" ht="20.100000000000001" customHeight="1" x14ac:dyDescent="0.25">
      <c r="A34" s="9" t="s">
        <v>89</v>
      </c>
      <c r="B34" s="10"/>
      <c r="C34" s="11">
        <f>SUM(D2:F30)</f>
        <v>187580</v>
      </c>
    </row>
    <row r="35" spans="1:3" ht="20.100000000000001" customHeight="1" x14ac:dyDescent="0.25">
      <c r="A35" s="12" t="s">
        <v>90</v>
      </c>
      <c r="B35" s="12"/>
      <c r="C35" s="11">
        <f>COUNT(Table1[PRICE])</f>
        <v>30</v>
      </c>
    </row>
    <row r="36" spans="1:3" ht="20.100000000000001" customHeight="1" x14ac:dyDescent="0.25">
      <c r="A36" s="12" t="s">
        <v>91</v>
      </c>
      <c r="B36" s="12"/>
      <c r="C36" s="11">
        <f>AVERAGE(C34/C35)</f>
        <v>6252.666666666667</v>
      </c>
    </row>
    <row r="37" spans="1:3" ht="20.100000000000001" customHeight="1" x14ac:dyDescent="0.25">
      <c r="A37" s="12" t="s">
        <v>92</v>
      </c>
      <c r="B37" s="12"/>
      <c r="C37" s="11">
        <f>MIN(F2:F31)</f>
        <v>30</v>
      </c>
    </row>
    <row r="38" spans="1:3" ht="20.100000000000001" customHeight="1" x14ac:dyDescent="0.25">
      <c r="A38" s="12" t="s">
        <v>93</v>
      </c>
      <c r="B38" s="12"/>
      <c r="C38" s="11">
        <f>MAX(F2:F31)</f>
        <v>54000</v>
      </c>
    </row>
    <row r="39" spans="1:3" ht="20.100000000000001" customHeight="1" x14ac:dyDescent="0.25">
      <c r="A39" s="12" t="s">
        <v>95</v>
      </c>
      <c r="B39" s="12"/>
      <c r="C39" s="11">
        <f>SUMIF(E2:E31,"Electronics",F2:F31)</f>
        <v>172860</v>
      </c>
    </row>
    <row r="40" spans="1:3" ht="20.100000000000001" customHeight="1" x14ac:dyDescent="0.25">
      <c r="A40" s="12" t="s">
        <v>96</v>
      </c>
      <c r="B40" s="12"/>
      <c r="C40" s="11">
        <f>COUNTIF(F2:F31,"&lt;100")</f>
        <v>3</v>
      </c>
    </row>
    <row r="41" spans="1:3" x14ac:dyDescent="0.25">
      <c r="A41" s="13"/>
      <c r="B41" s="13"/>
    </row>
  </sheetData>
  <mergeCells count="8">
    <mergeCell ref="A40:B40"/>
    <mergeCell ref="A41:B41"/>
    <mergeCell ref="A34:B34"/>
    <mergeCell ref="A35:B35"/>
    <mergeCell ref="A36:B36"/>
    <mergeCell ref="A37:B37"/>
    <mergeCell ref="A38:B38"/>
    <mergeCell ref="A39:B39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59B22-1553-496D-8960-362C0B643058}">
  <dimension ref="A1"/>
  <sheetViews>
    <sheetView topLeftCell="A25" workbookViewId="0">
      <selection activeCell="Q46" sqref="Q4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ASSIGNMENT 1 - Electronics</vt:lpstr>
      <vt:lpstr>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Mamtha Santhosh Nuvesh</dc:creator>
  <cp:lastModifiedBy>Mamtha Santhosh Nuvesh</cp:lastModifiedBy>
  <dcterms:created xsi:type="dcterms:W3CDTF">2026-05-01T15:33:27Z</dcterms:created>
  <dcterms:modified xsi:type="dcterms:W3CDTF">2026-05-02T17:43:14Z</dcterms:modified>
</cp:coreProperties>
</file>