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e7e0d919fa93194/Desktop/ENTRI PROJECT/EXCEL/"/>
    </mc:Choice>
  </mc:AlternateContent>
  <xr:revisionPtr revIDLastSave="439" documentId="11_F25DC773A252ABDACC1048BDC11F63425BDE58E3" xr6:coauthVersionLast="47" xr6:coauthVersionMax="47" xr10:uidLastSave="{4F03AFA0-EFA2-421F-96B3-0557D265DEC7}"/>
  <bookViews>
    <workbookView xWindow="-120" yWindow="-120" windowWidth="29040" windowHeight="15720" firstSheet="3" activeTab="6" xr2:uid="{00000000-000D-0000-FFFF-FFFF00000000}"/>
  </bookViews>
  <sheets>
    <sheet name="CLEANED DATA" sheetId="9" r:id="rId1"/>
    <sheet name="HANDLING MISSING VALUES" sheetId="3" r:id="rId2"/>
    <sheet name="CORRECTED TEXT FORMATS" sheetId="2" r:id="rId3"/>
    <sheet name="REMOVING DUPLICATES" sheetId="4" r:id="rId4"/>
    <sheet name="SPLITTING AND MERGING" sheetId="5" r:id="rId5"/>
    <sheet name="NUMBER FORMATTING" sheetId="6" r:id="rId6"/>
    <sheet name="CONDITIONAL FORMATT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9" l="1"/>
  <c r="M31" i="9"/>
  <c r="L31" i="9"/>
  <c r="K31" i="9"/>
  <c r="J31" i="9"/>
  <c r="I31" i="9"/>
  <c r="H31" i="9"/>
  <c r="G31" i="9"/>
  <c r="N30" i="9"/>
  <c r="M30" i="9"/>
  <c r="L30" i="9"/>
  <c r="K30" i="9"/>
  <c r="J30" i="9"/>
  <c r="I30" i="9"/>
  <c r="H30" i="9"/>
  <c r="G30" i="9"/>
  <c r="N29" i="9"/>
  <c r="M29" i="9"/>
  <c r="L29" i="9"/>
  <c r="K29" i="9"/>
  <c r="J29" i="9"/>
  <c r="I29" i="9"/>
  <c r="H29" i="9"/>
  <c r="G29" i="9"/>
  <c r="N28" i="9"/>
  <c r="M28" i="9"/>
  <c r="L28" i="9"/>
  <c r="K28" i="9"/>
  <c r="J28" i="9"/>
  <c r="I28" i="9"/>
  <c r="H28" i="9"/>
  <c r="G28" i="9"/>
  <c r="N27" i="9"/>
  <c r="M27" i="9"/>
  <c r="L27" i="9"/>
  <c r="K27" i="9"/>
  <c r="J27" i="9"/>
  <c r="I27" i="9"/>
  <c r="H27" i="9"/>
  <c r="G27" i="9"/>
  <c r="N26" i="9"/>
  <c r="M26" i="9"/>
  <c r="L26" i="9"/>
  <c r="K26" i="9"/>
  <c r="J26" i="9"/>
  <c r="I26" i="9"/>
  <c r="H26" i="9"/>
  <c r="G26" i="9"/>
  <c r="N25" i="9"/>
  <c r="M25" i="9"/>
  <c r="L25" i="9"/>
  <c r="K25" i="9"/>
  <c r="J25" i="9"/>
  <c r="I25" i="9"/>
  <c r="H25" i="9"/>
  <c r="G25" i="9"/>
  <c r="N24" i="9"/>
  <c r="M24" i="9"/>
  <c r="L24" i="9"/>
  <c r="K24" i="9"/>
  <c r="J24" i="9"/>
  <c r="I24" i="9"/>
  <c r="H24" i="9"/>
  <c r="G24" i="9"/>
  <c r="N23" i="9"/>
  <c r="M23" i="9"/>
  <c r="L23" i="9"/>
  <c r="K23" i="9"/>
  <c r="J23" i="9"/>
  <c r="I23" i="9"/>
  <c r="H23" i="9"/>
  <c r="G23" i="9"/>
  <c r="N22" i="9"/>
  <c r="M22" i="9"/>
  <c r="L22" i="9"/>
  <c r="K22" i="9"/>
  <c r="J22" i="9"/>
  <c r="I22" i="9"/>
  <c r="H22" i="9"/>
  <c r="G22" i="9"/>
  <c r="N21" i="9"/>
  <c r="M21" i="9"/>
  <c r="L21" i="9"/>
  <c r="K21" i="9"/>
  <c r="J21" i="9"/>
  <c r="I21" i="9"/>
  <c r="H21" i="9"/>
  <c r="G21" i="9"/>
  <c r="N20" i="9"/>
  <c r="M20" i="9"/>
  <c r="L20" i="9"/>
  <c r="K20" i="9"/>
  <c r="J20" i="9"/>
  <c r="I20" i="9"/>
  <c r="H20" i="9"/>
  <c r="G20" i="9"/>
  <c r="N19" i="9"/>
  <c r="M19" i="9"/>
  <c r="L19" i="9"/>
  <c r="K19" i="9"/>
  <c r="J19" i="9"/>
  <c r="I19" i="9"/>
  <c r="H19" i="9"/>
  <c r="G19" i="9"/>
  <c r="N18" i="9"/>
  <c r="M18" i="9"/>
  <c r="L18" i="9"/>
  <c r="K18" i="9"/>
  <c r="J18" i="9"/>
  <c r="I18" i="9"/>
  <c r="H18" i="9"/>
  <c r="G18" i="9"/>
  <c r="N17" i="9"/>
  <c r="M17" i="9"/>
  <c r="L17" i="9"/>
  <c r="K17" i="9"/>
  <c r="J17" i="9"/>
  <c r="I17" i="9"/>
  <c r="H17" i="9"/>
  <c r="G17" i="9"/>
  <c r="N16" i="9"/>
  <c r="M16" i="9"/>
  <c r="L16" i="9"/>
  <c r="K16" i="9"/>
  <c r="J16" i="9"/>
  <c r="I16" i="9"/>
  <c r="H16" i="9"/>
  <c r="G16" i="9"/>
  <c r="N15" i="9"/>
  <c r="M15" i="9"/>
  <c r="L15" i="9"/>
  <c r="K15" i="9"/>
  <c r="J15" i="9"/>
  <c r="I15" i="9"/>
  <c r="H15" i="9"/>
  <c r="G15" i="9"/>
  <c r="N14" i="9"/>
  <c r="M14" i="9"/>
  <c r="L14" i="9"/>
  <c r="K14" i="9"/>
  <c r="J14" i="9"/>
  <c r="I14" i="9"/>
  <c r="H14" i="9"/>
  <c r="G14" i="9"/>
  <c r="N13" i="9"/>
  <c r="M13" i="9"/>
  <c r="L13" i="9"/>
  <c r="K13" i="9"/>
  <c r="J13" i="9"/>
  <c r="I13" i="9"/>
  <c r="H13" i="9"/>
  <c r="G13" i="9"/>
  <c r="N12" i="9"/>
  <c r="M12" i="9"/>
  <c r="L12" i="9"/>
  <c r="K12" i="9"/>
  <c r="J12" i="9"/>
  <c r="I12" i="9"/>
  <c r="H12" i="9"/>
  <c r="G12" i="9"/>
  <c r="N11" i="9"/>
  <c r="M11" i="9"/>
  <c r="L11" i="9"/>
  <c r="K11" i="9"/>
  <c r="J11" i="9"/>
  <c r="I11" i="9"/>
  <c r="H11" i="9"/>
  <c r="G11" i="9"/>
  <c r="N10" i="9"/>
  <c r="M10" i="9"/>
  <c r="L10" i="9"/>
  <c r="K10" i="9"/>
  <c r="J10" i="9"/>
  <c r="I10" i="9"/>
  <c r="H10" i="9"/>
  <c r="G10" i="9"/>
  <c r="N9" i="9"/>
  <c r="M9" i="9"/>
  <c r="L9" i="9"/>
  <c r="K9" i="9"/>
  <c r="J9" i="9"/>
  <c r="I9" i="9"/>
  <c r="H9" i="9"/>
  <c r="G9" i="9"/>
  <c r="N8" i="9"/>
  <c r="M8" i="9"/>
  <c r="L8" i="9"/>
  <c r="K8" i="9"/>
  <c r="J8" i="9"/>
  <c r="I8" i="9"/>
  <c r="H8" i="9"/>
  <c r="G8" i="9"/>
  <c r="N7" i="9"/>
  <c r="M7" i="9"/>
  <c r="L7" i="9"/>
  <c r="K7" i="9"/>
  <c r="J7" i="9"/>
  <c r="I7" i="9"/>
  <c r="H7" i="9"/>
  <c r="G7" i="9"/>
  <c r="N6" i="9"/>
  <c r="M6" i="9"/>
  <c r="L6" i="9"/>
  <c r="K6" i="9"/>
  <c r="J6" i="9"/>
  <c r="I6" i="9"/>
  <c r="H6" i="9"/>
  <c r="G6" i="9"/>
  <c r="N5" i="9"/>
  <c r="M5" i="9"/>
  <c r="L5" i="9"/>
  <c r="K5" i="9"/>
  <c r="J5" i="9"/>
  <c r="I5" i="9"/>
  <c r="H5" i="9"/>
  <c r="G5" i="9"/>
  <c r="N4" i="9"/>
  <c r="M4" i="9"/>
  <c r="L4" i="9"/>
  <c r="K4" i="9"/>
  <c r="J4" i="9"/>
  <c r="I4" i="9"/>
  <c r="H4" i="9"/>
  <c r="G4" i="9"/>
  <c r="N3" i="9"/>
  <c r="M3" i="9"/>
  <c r="L3" i="9"/>
  <c r="K3" i="9"/>
  <c r="J3" i="9"/>
  <c r="I3" i="9"/>
  <c r="H3" i="9"/>
  <c r="G3" i="9"/>
  <c r="N2" i="9"/>
  <c r="M2" i="9"/>
  <c r="L2" i="9"/>
  <c r="K2" i="9"/>
  <c r="J2" i="9"/>
  <c r="I2" i="9"/>
  <c r="H2" i="9"/>
  <c r="G2" i="9"/>
  <c r="C35" i="3"/>
  <c r="C34" i="3"/>
  <c r="N31" i="7"/>
  <c r="M31" i="7"/>
  <c r="L31" i="7"/>
  <c r="K31" i="7"/>
  <c r="J31" i="7"/>
  <c r="I31" i="7"/>
  <c r="H31" i="7"/>
  <c r="G31" i="7"/>
  <c r="N30" i="7"/>
  <c r="M30" i="7"/>
  <c r="L30" i="7"/>
  <c r="K30" i="7"/>
  <c r="J30" i="7"/>
  <c r="I30" i="7"/>
  <c r="H30" i="7"/>
  <c r="G30" i="7"/>
  <c r="N29" i="7"/>
  <c r="M29" i="7"/>
  <c r="L29" i="7"/>
  <c r="K29" i="7"/>
  <c r="J29" i="7"/>
  <c r="I29" i="7"/>
  <c r="H29" i="7"/>
  <c r="G29" i="7"/>
  <c r="N28" i="7"/>
  <c r="M28" i="7"/>
  <c r="L28" i="7"/>
  <c r="K28" i="7"/>
  <c r="J28" i="7"/>
  <c r="I28" i="7"/>
  <c r="H28" i="7"/>
  <c r="G28" i="7"/>
  <c r="N27" i="7"/>
  <c r="M27" i="7"/>
  <c r="L27" i="7"/>
  <c r="K27" i="7"/>
  <c r="J27" i="7"/>
  <c r="I27" i="7"/>
  <c r="H27" i="7"/>
  <c r="G27" i="7"/>
  <c r="N26" i="7"/>
  <c r="M26" i="7"/>
  <c r="L26" i="7"/>
  <c r="K26" i="7"/>
  <c r="J26" i="7"/>
  <c r="I26" i="7"/>
  <c r="H26" i="7"/>
  <c r="G26" i="7"/>
  <c r="N25" i="7"/>
  <c r="M25" i="7"/>
  <c r="L25" i="7"/>
  <c r="K25" i="7"/>
  <c r="J25" i="7"/>
  <c r="I25" i="7"/>
  <c r="H25" i="7"/>
  <c r="G25" i="7"/>
  <c r="N24" i="7"/>
  <c r="M24" i="7"/>
  <c r="L24" i="7"/>
  <c r="K24" i="7"/>
  <c r="J24" i="7"/>
  <c r="I24" i="7"/>
  <c r="H24" i="7"/>
  <c r="G24" i="7"/>
  <c r="N23" i="7"/>
  <c r="M23" i="7"/>
  <c r="L23" i="7"/>
  <c r="K23" i="7"/>
  <c r="J23" i="7"/>
  <c r="I23" i="7"/>
  <c r="H23" i="7"/>
  <c r="G23" i="7"/>
  <c r="N22" i="7"/>
  <c r="M22" i="7"/>
  <c r="L22" i="7"/>
  <c r="K22" i="7"/>
  <c r="J22" i="7"/>
  <c r="I22" i="7"/>
  <c r="H22" i="7"/>
  <c r="G22" i="7"/>
  <c r="N21" i="7"/>
  <c r="M21" i="7"/>
  <c r="L21" i="7"/>
  <c r="K21" i="7"/>
  <c r="J21" i="7"/>
  <c r="I21" i="7"/>
  <c r="H21" i="7"/>
  <c r="G21" i="7"/>
  <c r="N20" i="7"/>
  <c r="M20" i="7"/>
  <c r="L20" i="7"/>
  <c r="K20" i="7"/>
  <c r="J20" i="7"/>
  <c r="I20" i="7"/>
  <c r="H20" i="7"/>
  <c r="G20" i="7"/>
  <c r="N19" i="7"/>
  <c r="M19" i="7"/>
  <c r="L19" i="7"/>
  <c r="K19" i="7"/>
  <c r="J19" i="7"/>
  <c r="I19" i="7"/>
  <c r="H19" i="7"/>
  <c r="G19" i="7"/>
  <c r="N18" i="7"/>
  <c r="M18" i="7"/>
  <c r="L18" i="7"/>
  <c r="K18" i="7"/>
  <c r="J18" i="7"/>
  <c r="I18" i="7"/>
  <c r="H18" i="7"/>
  <c r="G18" i="7"/>
  <c r="N17" i="7"/>
  <c r="M17" i="7"/>
  <c r="L17" i="7"/>
  <c r="K17" i="7"/>
  <c r="J17" i="7"/>
  <c r="I17" i="7"/>
  <c r="H17" i="7"/>
  <c r="G17" i="7"/>
  <c r="N16" i="7"/>
  <c r="M16" i="7"/>
  <c r="L16" i="7"/>
  <c r="K16" i="7"/>
  <c r="J16" i="7"/>
  <c r="I16" i="7"/>
  <c r="H16" i="7"/>
  <c r="G16" i="7"/>
  <c r="N15" i="7"/>
  <c r="M15" i="7"/>
  <c r="L15" i="7"/>
  <c r="K15" i="7"/>
  <c r="J15" i="7"/>
  <c r="I15" i="7"/>
  <c r="H15" i="7"/>
  <c r="G15" i="7"/>
  <c r="N14" i="7"/>
  <c r="M14" i="7"/>
  <c r="L14" i="7"/>
  <c r="K14" i="7"/>
  <c r="J14" i="7"/>
  <c r="I14" i="7"/>
  <c r="H14" i="7"/>
  <c r="G14" i="7"/>
  <c r="N13" i="7"/>
  <c r="M13" i="7"/>
  <c r="L13" i="7"/>
  <c r="K13" i="7"/>
  <c r="J13" i="7"/>
  <c r="I13" i="7"/>
  <c r="H13" i="7"/>
  <c r="G13" i="7"/>
  <c r="N12" i="7"/>
  <c r="M12" i="7"/>
  <c r="L12" i="7"/>
  <c r="K12" i="7"/>
  <c r="J12" i="7"/>
  <c r="I12" i="7"/>
  <c r="H12" i="7"/>
  <c r="G12" i="7"/>
  <c r="N11" i="7"/>
  <c r="M11" i="7"/>
  <c r="L11" i="7"/>
  <c r="K11" i="7"/>
  <c r="J11" i="7"/>
  <c r="I11" i="7"/>
  <c r="H11" i="7"/>
  <c r="G11" i="7"/>
  <c r="N10" i="7"/>
  <c r="M10" i="7"/>
  <c r="L10" i="7"/>
  <c r="K10" i="7"/>
  <c r="J10" i="7"/>
  <c r="I10" i="7"/>
  <c r="H10" i="7"/>
  <c r="G10" i="7"/>
  <c r="N9" i="7"/>
  <c r="M9" i="7"/>
  <c r="L9" i="7"/>
  <c r="K9" i="7"/>
  <c r="J9" i="7"/>
  <c r="I9" i="7"/>
  <c r="H9" i="7"/>
  <c r="G9" i="7"/>
  <c r="N8" i="7"/>
  <c r="M8" i="7"/>
  <c r="L8" i="7"/>
  <c r="K8" i="7"/>
  <c r="J8" i="7"/>
  <c r="I8" i="7"/>
  <c r="H8" i="7"/>
  <c r="G8" i="7"/>
  <c r="N7" i="7"/>
  <c r="M7" i="7"/>
  <c r="L7" i="7"/>
  <c r="K7" i="7"/>
  <c r="J7" i="7"/>
  <c r="I7" i="7"/>
  <c r="H7" i="7"/>
  <c r="G7" i="7"/>
  <c r="N6" i="7"/>
  <c r="M6" i="7"/>
  <c r="L6" i="7"/>
  <c r="K6" i="7"/>
  <c r="J6" i="7"/>
  <c r="I6" i="7"/>
  <c r="H6" i="7"/>
  <c r="G6" i="7"/>
  <c r="N5" i="7"/>
  <c r="M5" i="7"/>
  <c r="L5" i="7"/>
  <c r="K5" i="7"/>
  <c r="J5" i="7"/>
  <c r="I5" i="7"/>
  <c r="H5" i="7"/>
  <c r="G5" i="7"/>
  <c r="N4" i="7"/>
  <c r="M4" i="7"/>
  <c r="L4" i="7"/>
  <c r="K4" i="7"/>
  <c r="J4" i="7"/>
  <c r="I4" i="7"/>
  <c r="H4" i="7"/>
  <c r="G4" i="7"/>
  <c r="N3" i="7"/>
  <c r="M3" i="7"/>
  <c r="L3" i="7"/>
  <c r="K3" i="7"/>
  <c r="J3" i="7"/>
  <c r="I3" i="7"/>
  <c r="H3" i="7"/>
  <c r="G3" i="7"/>
  <c r="N2" i="7"/>
  <c r="M2" i="7"/>
  <c r="L2" i="7"/>
  <c r="K2" i="7"/>
  <c r="J2" i="7"/>
  <c r="I2" i="7"/>
  <c r="H2" i="7"/>
  <c r="G2" i="7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L2" i="6"/>
  <c r="Q2" i="6" s="1"/>
  <c r="L3" i="6"/>
  <c r="Q3" i="6" s="1"/>
  <c r="L4" i="6"/>
  <c r="Q4" i="6" s="1"/>
  <c r="L5" i="6"/>
  <c r="Q5" i="6" s="1"/>
  <c r="L6" i="6"/>
  <c r="Q6" i="6" s="1"/>
  <c r="L7" i="6"/>
  <c r="L8" i="6"/>
  <c r="Q8" i="6" s="1"/>
  <c r="L9" i="6"/>
  <c r="Q9" i="6" s="1"/>
  <c r="L10" i="6"/>
  <c r="Q10" i="6" s="1"/>
  <c r="L11" i="6"/>
  <c r="Q11" i="6" s="1"/>
  <c r="L12" i="6"/>
  <c r="Q12" i="6" s="1"/>
  <c r="L13" i="6"/>
  <c r="Q13" i="6" s="1"/>
  <c r="L14" i="6"/>
  <c r="Q14" i="6" s="1"/>
  <c r="L15" i="6"/>
  <c r="Q15" i="6" s="1"/>
  <c r="L16" i="6"/>
  <c r="Q16" i="6" s="1"/>
  <c r="L17" i="6"/>
  <c r="Q17" i="6" s="1"/>
  <c r="L18" i="6"/>
  <c r="Q18" i="6" s="1"/>
  <c r="L19" i="6"/>
  <c r="Q19" i="6" s="1"/>
  <c r="L20" i="6"/>
  <c r="Q20" i="6" s="1"/>
  <c r="L21" i="6"/>
  <c r="Q21" i="6" s="1"/>
  <c r="L22" i="6"/>
  <c r="Q22" i="6" s="1"/>
  <c r="L23" i="6"/>
  <c r="Q23" i="6" s="1"/>
  <c r="L24" i="6"/>
  <c r="Q24" i="6" s="1"/>
  <c r="L25" i="6"/>
  <c r="Q25" i="6" s="1"/>
  <c r="L26" i="6"/>
  <c r="Q26" i="6" s="1"/>
  <c r="L27" i="6"/>
  <c r="Q27" i="6" s="1"/>
  <c r="L28" i="6"/>
  <c r="Q28" i="6" s="1"/>
  <c r="L29" i="6"/>
  <c r="Q29" i="6" s="1"/>
  <c r="L30" i="6"/>
  <c r="L31" i="6"/>
  <c r="O30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N31" i="6"/>
  <c r="M31" i="6"/>
  <c r="K31" i="6"/>
  <c r="I31" i="6"/>
  <c r="H31" i="6"/>
  <c r="G31" i="6"/>
  <c r="N30" i="6"/>
  <c r="M30" i="6"/>
  <c r="K30" i="6"/>
  <c r="I30" i="6"/>
  <c r="H30" i="6"/>
  <c r="G30" i="6"/>
  <c r="N29" i="6"/>
  <c r="M29" i="6"/>
  <c r="K29" i="6"/>
  <c r="I29" i="6"/>
  <c r="H29" i="6"/>
  <c r="G29" i="6"/>
  <c r="N28" i="6"/>
  <c r="M28" i="6"/>
  <c r="K28" i="6"/>
  <c r="I28" i="6"/>
  <c r="H28" i="6"/>
  <c r="G28" i="6"/>
  <c r="N27" i="6"/>
  <c r="M27" i="6"/>
  <c r="K27" i="6"/>
  <c r="I27" i="6"/>
  <c r="H27" i="6"/>
  <c r="G27" i="6"/>
  <c r="N26" i="6"/>
  <c r="M26" i="6"/>
  <c r="K26" i="6"/>
  <c r="I26" i="6"/>
  <c r="H26" i="6"/>
  <c r="G26" i="6"/>
  <c r="N25" i="6"/>
  <c r="M25" i="6"/>
  <c r="K25" i="6"/>
  <c r="I25" i="6"/>
  <c r="H25" i="6"/>
  <c r="G25" i="6"/>
  <c r="N24" i="6"/>
  <c r="M24" i="6"/>
  <c r="K24" i="6"/>
  <c r="I24" i="6"/>
  <c r="H24" i="6"/>
  <c r="G24" i="6"/>
  <c r="N23" i="6"/>
  <c r="M23" i="6"/>
  <c r="K23" i="6"/>
  <c r="I23" i="6"/>
  <c r="H23" i="6"/>
  <c r="G23" i="6"/>
  <c r="N22" i="6"/>
  <c r="M22" i="6"/>
  <c r="K22" i="6"/>
  <c r="I22" i="6"/>
  <c r="H22" i="6"/>
  <c r="G22" i="6"/>
  <c r="N21" i="6"/>
  <c r="M21" i="6"/>
  <c r="K21" i="6"/>
  <c r="I21" i="6"/>
  <c r="H21" i="6"/>
  <c r="G21" i="6"/>
  <c r="N20" i="6"/>
  <c r="M20" i="6"/>
  <c r="K20" i="6"/>
  <c r="I20" i="6"/>
  <c r="H20" i="6"/>
  <c r="G20" i="6"/>
  <c r="N19" i="6"/>
  <c r="M19" i="6"/>
  <c r="K19" i="6"/>
  <c r="I19" i="6"/>
  <c r="H19" i="6"/>
  <c r="G19" i="6"/>
  <c r="N18" i="6"/>
  <c r="M18" i="6"/>
  <c r="K18" i="6"/>
  <c r="I18" i="6"/>
  <c r="H18" i="6"/>
  <c r="G18" i="6"/>
  <c r="N17" i="6"/>
  <c r="M17" i="6"/>
  <c r="K17" i="6"/>
  <c r="I17" i="6"/>
  <c r="H17" i="6"/>
  <c r="G17" i="6"/>
  <c r="N16" i="6"/>
  <c r="M16" i="6"/>
  <c r="K16" i="6"/>
  <c r="I16" i="6"/>
  <c r="H16" i="6"/>
  <c r="G16" i="6"/>
  <c r="N15" i="6"/>
  <c r="M15" i="6"/>
  <c r="K15" i="6"/>
  <c r="I15" i="6"/>
  <c r="H15" i="6"/>
  <c r="G15" i="6"/>
  <c r="N14" i="6"/>
  <c r="M14" i="6"/>
  <c r="K14" i="6"/>
  <c r="I14" i="6"/>
  <c r="H14" i="6"/>
  <c r="G14" i="6"/>
  <c r="N13" i="6"/>
  <c r="M13" i="6"/>
  <c r="K13" i="6"/>
  <c r="I13" i="6"/>
  <c r="H13" i="6"/>
  <c r="G13" i="6"/>
  <c r="N12" i="6"/>
  <c r="M12" i="6"/>
  <c r="K12" i="6"/>
  <c r="I12" i="6"/>
  <c r="H12" i="6"/>
  <c r="G12" i="6"/>
  <c r="N11" i="6"/>
  <c r="M11" i="6"/>
  <c r="K11" i="6"/>
  <c r="I11" i="6"/>
  <c r="H11" i="6"/>
  <c r="G11" i="6"/>
  <c r="N10" i="6"/>
  <c r="M10" i="6"/>
  <c r="K10" i="6"/>
  <c r="I10" i="6"/>
  <c r="H10" i="6"/>
  <c r="G10" i="6"/>
  <c r="N9" i="6"/>
  <c r="M9" i="6"/>
  <c r="K9" i="6"/>
  <c r="I9" i="6"/>
  <c r="H9" i="6"/>
  <c r="G9" i="6"/>
  <c r="N8" i="6"/>
  <c r="M8" i="6"/>
  <c r="K8" i="6"/>
  <c r="I8" i="6"/>
  <c r="H8" i="6"/>
  <c r="G8" i="6"/>
  <c r="N7" i="6"/>
  <c r="M7" i="6"/>
  <c r="K7" i="6"/>
  <c r="I7" i="6"/>
  <c r="H7" i="6"/>
  <c r="G7" i="6"/>
  <c r="N6" i="6"/>
  <c r="M6" i="6"/>
  <c r="K6" i="6"/>
  <c r="I6" i="6"/>
  <c r="H6" i="6"/>
  <c r="G6" i="6"/>
  <c r="N5" i="6"/>
  <c r="M5" i="6"/>
  <c r="K5" i="6"/>
  <c r="I5" i="6"/>
  <c r="H5" i="6"/>
  <c r="G5" i="6"/>
  <c r="N4" i="6"/>
  <c r="M4" i="6"/>
  <c r="K4" i="6"/>
  <c r="I4" i="6"/>
  <c r="H4" i="6"/>
  <c r="G4" i="6"/>
  <c r="N3" i="6"/>
  <c r="M3" i="6"/>
  <c r="K3" i="6"/>
  <c r="I3" i="6"/>
  <c r="H3" i="6"/>
  <c r="G3" i="6"/>
  <c r="N2" i="6"/>
  <c r="M2" i="6"/>
  <c r="K2" i="6"/>
  <c r="I2" i="6"/>
  <c r="H2" i="6"/>
  <c r="G2" i="6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K31" i="5"/>
  <c r="J31" i="5"/>
  <c r="I31" i="5"/>
  <c r="H31" i="5"/>
  <c r="G31" i="5"/>
  <c r="K30" i="5"/>
  <c r="J30" i="5"/>
  <c r="I30" i="5"/>
  <c r="H30" i="5"/>
  <c r="G30" i="5"/>
  <c r="K29" i="5"/>
  <c r="J29" i="5"/>
  <c r="I29" i="5"/>
  <c r="H29" i="5"/>
  <c r="G29" i="5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G6" i="5"/>
  <c r="K5" i="5"/>
  <c r="J5" i="5"/>
  <c r="I5" i="5"/>
  <c r="H5" i="5"/>
  <c r="G5" i="5"/>
  <c r="K4" i="5"/>
  <c r="J4" i="5"/>
  <c r="I4" i="5"/>
  <c r="H4" i="5"/>
  <c r="G4" i="5"/>
  <c r="K3" i="5"/>
  <c r="J3" i="5"/>
  <c r="I3" i="5"/>
  <c r="H3" i="5"/>
  <c r="G3" i="5"/>
  <c r="K2" i="5"/>
  <c r="J2" i="5"/>
  <c r="I2" i="5"/>
  <c r="H2" i="5"/>
  <c r="G2" i="5"/>
  <c r="K31" i="4"/>
  <c r="J31" i="4"/>
  <c r="I31" i="4"/>
  <c r="H31" i="4"/>
  <c r="G31" i="4"/>
  <c r="K30" i="4"/>
  <c r="J30" i="4"/>
  <c r="I30" i="4"/>
  <c r="H30" i="4"/>
  <c r="G30" i="4"/>
  <c r="K29" i="4"/>
  <c r="J29" i="4"/>
  <c r="I29" i="4"/>
  <c r="H29" i="4"/>
  <c r="G29" i="4"/>
  <c r="K28" i="4"/>
  <c r="J28" i="4"/>
  <c r="I28" i="4"/>
  <c r="H28" i="4"/>
  <c r="G28" i="4"/>
  <c r="K27" i="4"/>
  <c r="J27" i="4"/>
  <c r="I27" i="4"/>
  <c r="H27" i="4"/>
  <c r="G27" i="4"/>
  <c r="K26" i="4"/>
  <c r="J26" i="4"/>
  <c r="I26" i="4"/>
  <c r="H26" i="4"/>
  <c r="G26" i="4"/>
  <c r="K25" i="4"/>
  <c r="J25" i="4"/>
  <c r="I25" i="4"/>
  <c r="H25" i="4"/>
  <c r="G25" i="4"/>
  <c r="K24" i="4"/>
  <c r="J24" i="4"/>
  <c r="I24" i="4"/>
  <c r="H24" i="4"/>
  <c r="G24" i="4"/>
  <c r="K23" i="4"/>
  <c r="J23" i="4"/>
  <c r="I23" i="4"/>
  <c r="H23" i="4"/>
  <c r="G23" i="4"/>
  <c r="K22" i="4"/>
  <c r="J22" i="4"/>
  <c r="I22" i="4"/>
  <c r="H22" i="4"/>
  <c r="G22" i="4"/>
  <c r="K21" i="4"/>
  <c r="J21" i="4"/>
  <c r="I21" i="4"/>
  <c r="H21" i="4"/>
  <c r="G21" i="4"/>
  <c r="K20" i="4"/>
  <c r="J20" i="4"/>
  <c r="I20" i="4"/>
  <c r="H20" i="4"/>
  <c r="G20" i="4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K3" i="4"/>
  <c r="J3" i="4"/>
  <c r="I3" i="4"/>
  <c r="H3" i="4"/>
  <c r="G3" i="4"/>
  <c r="K2" i="4"/>
  <c r="J2" i="4"/>
  <c r="I2" i="4"/>
  <c r="H2" i="4"/>
  <c r="G2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J3" i="3"/>
  <c r="I3" i="3"/>
  <c r="H3" i="3"/>
  <c r="G3" i="3"/>
  <c r="J2" i="3"/>
  <c r="I2" i="3"/>
  <c r="H2" i="3"/>
  <c r="G2" i="3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H4" i="2"/>
  <c r="G4" i="2"/>
  <c r="K3" i="2"/>
  <c r="J3" i="2"/>
  <c r="I3" i="2"/>
  <c r="H3" i="2"/>
  <c r="G3" i="2"/>
  <c r="K2" i="2"/>
  <c r="J2" i="2"/>
  <c r="I2" i="2"/>
  <c r="H2" i="2"/>
  <c r="G2" i="2"/>
  <c r="Q31" i="9" l="1"/>
  <c r="P31" i="9"/>
  <c r="O31" i="9"/>
  <c r="Q30" i="9"/>
  <c r="P30" i="9"/>
  <c r="O30" i="9"/>
  <c r="Q29" i="9"/>
  <c r="P29" i="9"/>
  <c r="O29" i="9"/>
  <c r="Q28" i="9"/>
  <c r="P28" i="9"/>
  <c r="O28" i="9"/>
  <c r="Q27" i="9"/>
  <c r="P27" i="9"/>
  <c r="O27" i="9"/>
  <c r="Q26" i="9"/>
  <c r="P26" i="9"/>
  <c r="R26" i="9" s="1"/>
  <c r="O26" i="9"/>
  <c r="Q25" i="9"/>
  <c r="P25" i="9"/>
  <c r="O25" i="9"/>
  <c r="Q24" i="9"/>
  <c r="P24" i="9"/>
  <c r="O24" i="9"/>
  <c r="Q23" i="9"/>
  <c r="O23" i="9"/>
  <c r="P23" i="9"/>
  <c r="R23" i="9" s="1"/>
  <c r="P22" i="9"/>
  <c r="O22" i="9"/>
  <c r="Q22" i="9"/>
  <c r="Q21" i="9"/>
  <c r="O21" i="9"/>
  <c r="P21" i="9"/>
  <c r="R21" i="9" s="1"/>
  <c r="O20" i="9"/>
  <c r="P20" i="9"/>
  <c r="R20" i="9" s="1"/>
  <c r="Q20" i="9"/>
  <c r="Q19" i="9"/>
  <c r="P19" i="9"/>
  <c r="O19" i="9"/>
  <c r="Q18" i="9"/>
  <c r="P18" i="9"/>
  <c r="O18" i="9"/>
  <c r="Q17" i="9"/>
  <c r="P17" i="9"/>
  <c r="O17" i="9"/>
  <c r="Q16" i="9"/>
  <c r="P16" i="9"/>
  <c r="O16" i="9"/>
  <c r="O15" i="9"/>
  <c r="P15" i="9"/>
  <c r="Q15" i="9"/>
  <c r="P14" i="9"/>
  <c r="O14" i="9"/>
  <c r="Q14" i="9"/>
  <c r="Q13" i="9"/>
  <c r="P13" i="9"/>
  <c r="O13" i="9"/>
  <c r="Q12" i="9"/>
  <c r="P12" i="9"/>
  <c r="O12" i="9"/>
  <c r="Q11" i="9"/>
  <c r="P11" i="9"/>
  <c r="O11" i="9"/>
  <c r="Q10" i="9"/>
  <c r="P10" i="9"/>
  <c r="O10" i="9"/>
  <c r="O9" i="9"/>
  <c r="Q9" i="9"/>
  <c r="P9" i="9"/>
  <c r="P8" i="9"/>
  <c r="O8" i="9"/>
  <c r="Q8" i="9"/>
  <c r="P7" i="9"/>
  <c r="O7" i="9"/>
  <c r="Q7" i="9"/>
  <c r="Q6" i="9"/>
  <c r="P6" i="9"/>
  <c r="O6" i="9"/>
  <c r="Q5" i="9"/>
  <c r="P5" i="9"/>
  <c r="O5" i="9"/>
  <c r="Q4" i="9"/>
  <c r="O4" i="9"/>
  <c r="P4" i="9"/>
  <c r="Q3" i="9"/>
  <c r="P3" i="9"/>
  <c r="O3" i="9"/>
  <c r="P2" i="9"/>
  <c r="O2" i="9"/>
  <c r="Q2" i="9"/>
  <c r="Q31" i="7"/>
  <c r="O31" i="7"/>
  <c r="P31" i="7"/>
  <c r="O30" i="7"/>
  <c r="P30" i="7"/>
  <c r="Q30" i="7"/>
  <c r="O29" i="7"/>
  <c r="P29" i="7"/>
  <c r="Q29" i="7"/>
  <c r="O28" i="7"/>
  <c r="P28" i="7"/>
  <c r="Q28" i="7"/>
  <c r="Q27" i="7"/>
  <c r="O27" i="7"/>
  <c r="P27" i="7"/>
  <c r="Q26" i="7"/>
  <c r="O26" i="7"/>
  <c r="P26" i="7"/>
  <c r="Q25" i="7"/>
  <c r="P25" i="7"/>
  <c r="O25" i="7"/>
  <c r="P24" i="7"/>
  <c r="Q24" i="7"/>
  <c r="O24" i="7"/>
  <c r="O23" i="7"/>
  <c r="Q23" i="7"/>
  <c r="P23" i="7"/>
  <c r="P22" i="7"/>
  <c r="Q22" i="7"/>
  <c r="O22" i="7"/>
  <c r="P21" i="7"/>
  <c r="Q21" i="7"/>
  <c r="O21" i="7"/>
  <c r="O20" i="7"/>
  <c r="Q20" i="7"/>
  <c r="P20" i="7"/>
  <c r="Q19" i="7"/>
  <c r="O19" i="7"/>
  <c r="P19" i="7"/>
  <c r="Q18" i="7"/>
  <c r="O18" i="7"/>
  <c r="P18" i="7"/>
  <c r="P17" i="7"/>
  <c r="O17" i="7"/>
  <c r="Q17" i="7"/>
  <c r="O16" i="7"/>
  <c r="Q16" i="7"/>
  <c r="P16" i="7"/>
  <c r="O15" i="7"/>
  <c r="P15" i="7"/>
  <c r="Q15" i="7"/>
  <c r="Q14" i="7"/>
  <c r="O14" i="7"/>
  <c r="P14" i="7"/>
  <c r="Q13" i="7"/>
  <c r="O13" i="7"/>
  <c r="P13" i="7"/>
  <c r="P12" i="7"/>
  <c r="Q12" i="7"/>
  <c r="O12" i="7"/>
  <c r="Q11" i="7"/>
  <c r="O11" i="7"/>
  <c r="P11" i="7"/>
  <c r="O10" i="7"/>
  <c r="P10" i="7"/>
  <c r="Q10" i="7"/>
  <c r="P9" i="7"/>
  <c r="R9" i="7" s="1"/>
  <c r="O9" i="7"/>
  <c r="Q9" i="7"/>
  <c r="P8" i="7"/>
  <c r="Q8" i="7"/>
  <c r="O8" i="7"/>
  <c r="P7" i="7"/>
  <c r="Q7" i="7"/>
  <c r="O7" i="7"/>
  <c r="O6" i="7"/>
  <c r="P6" i="7"/>
  <c r="Q6" i="7"/>
  <c r="O5" i="7"/>
  <c r="Q5" i="7"/>
  <c r="P5" i="7"/>
  <c r="R5" i="7" s="1"/>
  <c r="O4" i="7"/>
  <c r="Q4" i="7"/>
  <c r="P4" i="7"/>
  <c r="O3" i="7"/>
  <c r="P3" i="7"/>
  <c r="Q3" i="7"/>
  <c r="P2" i="7"/>
  <c r="Q2" i="7"/>
  <c r="O2" i="7"/>
  <c r="P7" i="6"/>
  <c r="Q7" i="6"/>
  <c r="P30" i="6"/>
  <c r="Q30" i="6"/>
  <c r="P31" i="6"/>
  <c r="Q31" i="6"/>
  <c r="O31" i="6"/>
  <c r="P10" i="6"/>
  <c r="O10" i="6"/>
  <c r="P11" i="6"/>
  <c r="O11" i="6"/>
  <c r="P12" i="6"/>
  <c r="O12" i="6"/>
  <c r="P13" i="6"/>
  <c r="O13" i="6"/>
  <c r="P14" i="6"/>
  <c r="O14" i="6"/>
  <c r="P15" i="6"/>
  <c r="O15" i="6"/>
  <c r="P16" i="6"/>
  <c r="O16" i="6"/>
  <c r="P17" i="6"/>
  <c r="O17" i="6"/>
  <c r="P18" i="6"/>
  <c r="O18" i="6"/>
  <c r="P19" i="6"/>
  <c r="O19" i="6"/>
  <c r="P20" i="6"/>
  <c r="O20" i="6"/>
  <c r="P21" i="6"/>
  <c r="O21" i="6"/>
  <c r="P22" i="6"/>
  <c r="O22" i="6"/>
  <c r="P23" i="6"/>
  <c r="O23" i="6"/>
  <c r="P24" i="6"/>
  <c r="O24" i="6"/>
  <c r="P25" i="6"/>
  <c r="O25" i="6"/>
  <c r="P26" i="6"/>
  <c r="O26" i="6"/>
  <c r="P27" i="6"/>
  <c r="O27" i="6"/>
  <c r="P28" i="6"/>
  <c r="O28" i="6"/>
  <c r="P29" i="6"/>
  <c r="O29" i="6"/>
  <c r="O2" i="6"/>
  <c r="P2" i="6"/>
  <c r="R2" i="6" s="1"/>
  <c r="O3" i="6"/>
  <c r="P3" i="6"/>
  <c r="O4" i="6"/>
  <c r="P4" i="6"/>
  <c r="P5" i="6"/>
  <c r="O5" i="6"/>
  <c r="O6" i="6"/>
  <c r="P6" i="6"/>
  <c r="P8" i="6"/>
  <c r="O8" i="6"/>
  <c r="O9" i="6"/>
  <c r="P9" i="6"/>
  <c r="O7" i="6"/>
  <c r="R31" i="9" l="1"/>
  <c r="R30" i="9"/>
  <c r="R29" i="9"/>
  <c r="R28" i="9"/>
  <c r="R27" i="9"/>
  <c r="R13" i="9"/>
  <c r="R12" i="9"/>
  <c r="R25" i="9"/>
  <c r="R24" i="9"/>
  <c r="R22" i="9"/>
  <c r="R14" i="9"/>
  <c r="R8" i="9"/>
  <c r="R6" i="9"/>
  <c r="R5" i="9"/>
  <c r="R19" i="9"/>
  <c r="R18" i="9"/>
  <c r="R17" i="9"/>
  <c r="R16" i="9"/>
  <c r="R15" i="9"/>
  <c r="R11" i="9"/>
  <c r="R10" i="9"/>
  <c r="R9" i="9"/>
  <c r="R7" i="9"/>
  <c r="R4" i="9"/>
  <c r="R3" i="9"/>
  <c r="R2" i="9"/>
  <c r="R16" i="7"/>
  <c r="R15" i="7"/>
  <c r="R4" i="7"/>
  <c r="R8" i="7"/>
  <c r="R7" i="7"/>
  <c r="R6" i="7"/>
  <c r="R31" i="7"/>
  <c r="R30" i="7"/>
  <c r="R26" i="7"/>
  <c r="R25" i="7"/>
  <c r="R24" i="7"/>
  <c r="R21" i="7"/>
  <c r="R14" i="7"/>
  <c r="R13" i="7"/>
  <c r="R29" i="7"/>
  <c r="R28" i="7"/>
  <c r="R27" i="7"/>
  <c r="R23" i="7"/>
  <c r="R22" i="7"/>
  <c r="R17" i="7"/>
  <c r="R10" i="7"/>
  <c r="R3" i="7"/>
  <c r="R20" i="7"/>
  <c r="R19" i="7"/>
  <c r="R18" i="7"/>
  <c r="R12" i="7"/>
  <c r="R11" i="7"/>
  <c r="R2" i="7"/>
</calcChain>
</file>

<file path=xl/sharedStrings.xml><?xml version="1.0" encoding="utf-8"?>
<sst xmlns="http://schemas.openxmlformats.org/spreadsheetml/2006/main" count="945" uniqueCount="121">
  <si>
    <t>PRODUCT_ID</t>
  </si>
  <si>
    <t>PRODUCT_NAME</t>
  </si>
  <si>
    <t>BRAND_NAME</t>
  </si>
  <si>
    <t>QUANTITY</t>
  </si>
  <si>
    <t>CATEGORIES</t>
  </si>
  <si>
    <t>PRICE</t>
  </si>
  <si>
    <t>PRICE RANGE</t>
  </si>
  <si>
    <t>DAY</t>
  </si>
  <si>
    <t>COUNTRY CODE</t>
  </si>
  <si>
    <t>MONTH</t>
  </si>
  <si>
    <t>Keyboard</t>
  </si>
  <si>
    <t>Microsoft</t>
  </si>
  <si>
    <t>Electronics</t>
  </si>
  <si>
    <t>Lab chair</t>
  </si>
  <si>
    <t>Lotus</t>
  </si>
  <si>
    <t>Furniture</t>
  </si>
  <si>
    <t>Monitor</t>
  </si>
  <si>
    <t>Philips</t>
  </si>
  <si>
    <t>Butter</t>
  </si>
  <si>
    <t>Amul</t>
  </si>
  <si>
    <t>Dairy</t>
  </si>
  <si>
    <t>Laptop</t>
  </si>
  <si>
    <t>Smartphone</t>
  </si>
  <si>
    <t>Lenovo</t>
  </si>
  <si>
    <t>Leather Executive chair</t>
  </si>
  <si>
    <t>Cassina</t>
  </si>
  <si>
    <t>Tablet</t>
  </si>
  <si>
    <t>Bose</t>
  </si>
  <si>
    <t>Custard</t>
  </si>
  <si>
    <t>Desk chair</t>
  </si>
  <si>
    <t>Apex</t>
  </si>
  <si>
    <t>Baby Towel</t>
  </si>
  <si>
    <t>Johnson</t>
  </si>
  <si>
    <t>Baby product</t>
  </si>
  <si>
    <t>Milk</t>
  </si>
  <si>
    <t>Baby Comb</t>
  </si>
  <si>
    <t>Mouse</t>
  </si>
  <si>
    <t>Videocon</t>
  </si>
  <si>
    <t>student chair</t>
  </si>
  <si>
    <t>Kartell</t>
  </si>
  <si>
    <t>Baby Walker</t>
  </si>
  <si>
    <t>dove</t>
  </si>
  <si>
    <t>Headphones</t>
  </si>
  <si>
    <t>Boat</t>
  </si>
  <si>
    <t>standing desk</t>
  </si>
  <si>
    <t>Flexispot</t>
  </si>
  <si>
    <t>Baby Oil</t>
  </si>
  <si>
    <t>Himalaya</t>
  </si>
  <si>
    <t>Projector</t>
  </si>
  <si>
    <t>Canon</t>
  </si>
  <si>
    <t>visitor chair</t>
  </si>
  <si>
    <t>Cheese</t>
  </si>
  <si>
    <t>Arla</t>
  </si>
  <si>
    <t>Printer</t>
  </si>
  <si>
    <t>Baby spoons</t>
  </si>
  <si>
    <t>mee mee</t>
  </si>
  <si>
    <t>Milk powder</t>
  </si>
  <si>
    <t>Smartwatch</t>
  </si>
  <si>
    <t>Color Laser Printer</t>
  </si>
  <si>
    <t>HP</t>
  </si>
  <si>
    <t>Baby swing</t>
  </si>
  <si>
    <t>mamaearth</t>
  </si>
  <si>
    <t>pendrive</t>
  </si>
  <si>
    <t>sandisk</t>
  </si>
  <si>
    <t>accessories</t>
  </si>
  <si>
    <t>PRICE_BLANK</t>
  </si>
  <si>
    <t>HANDLING MISSING VALUE (PRICE)</t>
  </si>
  <si>
    <t>HANDLING MISSING VALUE(CATEGORIES)</t>
  </si>
  <si>
    <t>Lab Chair</t>
  </si>
  <si>
    <t>Leather Executive Chair</t>
  </si>
  <si>
    <t>Desk Chair</t>
  </si>
  <si>
    <t>Student Chair</t>
  </si>
  <si>
    <t>Standing Desk</t>
  </si>
  <si>
    <t>Visitor Chair</t>
  </si>
  <si>
    <t>Baby Spoons</t>
  </si>
  <si>
    <t>Milk Powder</t>
  </si>
  <si>
    <t>Smart Watch</t>
  </si>
  <si>
    <t>Baby Swing</t>
  </si>
  <si>
    <t>Pendrive</t>
  </si>
  <si>
    <t>Baby Product</t>
  </si>
  <si>
    <t>Accessories</t>
  </si>
  <si>
    <t>NO DUPLICATE RECORDS</t>
  </si>
  <si>
    <t>DESCRIPTION:</t>
  </si>
  <si>
    <t>MANUFACTURING_DATE</t>
  </si>
  <si>
    <t>COUNTRY_CODE</t>
  </si>
  <si>
    <t>MERGING</t>
  </si>
  <si>
    <t>35-2FEB22-US</t>
  </si>
  <si>
    <t>38-1JAN20-IN</t>
  </si>
  <si>
    <t>33-3MAR23-FR</t>
  </si>
  <si>
    <t>30-4APR16-ER</t>
  </si>
  <si>
    <t>46-5MAY24-IS</t>
  </si>
  <si>
    <t>23-6JUN25-IN</t>
  </si>
  <si>
    <t>23-7JUL26-EU</t>
  </si>
  <si>
    <t>92-8AUG25-HU</t>
  </si>
  <si>
    <t>34-9SEP22-CI</t>
  </si>
  <si>
    <t>56-2OCT24-FR</t>
  </si>
  <si>
    <t>23-1NOV21-US</t>
  </si>
  <si>
    <t>89-2DEC24-IN</t>
  </si>
  <si>
    <t>38-1JAN24-JO</t>
  </si>
  <si>
    <t>35-2FEB22-KE</t>
  </si>
  <si>
    <t>33-3MAR21-FR</t>
  </si>
  <si>
    <t>78-4APR20-IE</t>
  </si>
  <si>
    <t>46-5MAY22-IN</t>
  </si>
  <si>
    <t>23-6JUN22-HT</t>
  </si>
  <si>
    <t>23-7JUL22-CI</t>
  </si>
  <si>
    <t>92-8AUG24-ID</t>
  </si>
  <si>
    <t>34-9SEP24-IL</t>
  </si>
  <si>
    <t>53-4OCT26-EU</t>
  </si>
  <si>
    <t>21-1NOV25-CI</t>
  </si>
  <si>
    <t>80-2DEC25-IR</t>
  </si>
  <si>
    <t>38-1JAN24-ID</t>
  </si>
  <si>
    <t>35-2FEB25-IM</t>
  </si>
  <si>
    <t>38-1JAN26-JO</t>
  </si>
  <si>
    <t>35-2FEB24-ID</t>
  </si>
  <si>
    <t>33-3MAR25-JO</t>
  </si>
  <si>
    <t>30-4APR26-CI</t>
  </si>
  <si>
    <t>DATE</t>
  </si>
  <si>
    <t>MONTH2</t>
  </si>
  <si>
    <t>YEAR</t>
  </si>
  <si>
    <t>PRODUCT CODE</t>
  </si>
  <si>
    <t>38-1JAN23-IN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</si>
</sst>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theme="0"/>
      <name val="Times New Roman"/>
      <family val="1"/>
    </font>
    <font>
      <sz val="14"/>
      <color rgb="FF006100"/>
      <name val="Times New Roman"/>
      <family val="1"/>
    </font>
    <font>
      <sz val="16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33CCCC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43">
    <xf numFmtId="0" fontId="0" fillId="0" borderId="0" xfId="0"/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7" fillId="4" borderId="0" xfId="3" applyFont="1"/>
    <xf numFmtId="0" fontId="4" fillId="0" borderId="0" xfId="0" applyFont="1"/>
    <xf numFmtId="0" fontId="4" fillId="0" borderId="4" xfId="0" applyFont="1" applyBorder="1"/>
    <xf numFmtId="0" fontId="4" fillId="0" borderId="4" xfId="0" applyFont="1" applyFill="1" applyBorder="1"/>
    <xf numFmtId="0" fontId="4" fillId="0" borderId="2" xfId="0" applyFont="1" applyFill="1" applyBorder="1"/>
    <xf numFmtId="0" fontId="4" fillId="0" borderId="6" xfId="0" applyFont="1" applyFill="1" applyBorder="1"/>
    <xf numFmtId="165" fontId="4" fillId="0" borderId="4" xfId="0" applyNumberFormat="1" applyFont="1" applyBorder="1"/>
    <xf numFmtId="14" fontId="4" fillId="0" borderId="0" xfId="0" applyNumberFormat="1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6" xfId="0" applyFont="1" applyBorder="1"/>
    <xf numFmtId="14" fontId="5" fillId="0" borderId="0" xfId="0" applyNumberFormat="1" applyFont="1"/>
    <xf numFmtId="14" fontId="4" fillId="0" borderId="4" xfId="0" applyNumberFormat="1" applyFont="1" applyFill="1" applyBorder="1"/>
    <xf numFmtId="0" fontId="9" fillId="5" borderId="2" xfId="4" applyFont="1" applyBorder="1" applyAlignment="1">
      <alignment horizontal="center"/>
    </xf>
    <xf numFmtId="0" fontId="3" fillId="3" borderId="0" xfId="2"/>
    <xf numFmtId="0" fontId="9" fillId="3" borderId="0" xfId="2" applyFont="1"/>
    <xf numFmtId="0" fontId="9" fillId="7" borderId="0" xfId="6" applyFont="1"/>
    <xf numFmtId="165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0" fillId="2" borderId="2" xfId="1" applyFont="1" applyBorder="1" applyAlignment="1">
      <alignment horizontal="center"/>
    </xf>
    <xf numFmtId="0" fontId="11" fillId="6" borderId="1" xfId="5" applyFont="1" applyBorder="1" applyAlignment="1">
      <alignment horizontal="center"/>
    </xf>
    <xf numFmtId="0" fontId="11" fillId="6" borderId="2" xfId="5" applyFont="1" applyBorder="1" applyAlignment="1">
      <alignment horizontal="center"/>
    </xf>
    <xf numFmtId="0" fontId="11" fillId="6" borderId="3" xfId="5" applyFont="1" applyBorder="1" applyAlignment="1">
      <alignment horizontal="center"/>
    </xf>
  </cellXfs>
  <cellStyles count="7">
    <cellStyle name="40% - Accent1" xfId="3" builtinId="31"/>
    <cellStyle name="Accent1" xfId="2" builtinId="29"/>
    <cellStyle name="Accent2" xfId="4" builtinId="33"/>
    <cellStyle name="Accent4" xfId="5" builtinId="41"/>
    <cellStyle name="Accent6" xfId="6" builtinId="49"/>
    <cellStyle name="Good" xfId="1" builtinId="26"/>
    <cellStyle name="Normal" xfId="0" builtinId="0"/>
  </cellStyles>
  <dxfs count="145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9"/>
      </font>
    </dxf>
    <dxf>
      <font>
        <b/>
        <i val="0"/>
        <color theme="9"/>
      </font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9"/>
      </font>
    </dxf>
    <dxf>
      <font>
        <b/>
        <i val="0"/>
        <color theme="9"/>
      </font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theme="9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33CC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6D92AF-C8B7-4FAC-B89D-6A11BBFE269C}" name="Table1356789" displayName="Table1356789" ref="A1:R31" totalsRowShown="0" headerRowDxfId="12" dataDxfId="13" headerRowBorderDxfId="42" tableBorderDxfId="43" totalsRowBorderDxfId="41" headerRowCellStyle="Accent4" dataCellStyle="Normal">
  <autoFilter ref="A1:R31" xr:uid="{256D92AF-C8B7-4FAC-B89D-6A11BBFE269C}"/>
  <tableColumns count="18">
    <tableColumn id="1" xr3:uid="{2324DD3B-2598-47EE-A785-95377D4276B9}" name="PRODUCT_ID" dataDxfId="31" dataCellStyle="Normal"/>
    <tableColumn id="2" xr3:uid="{D3D4167E-B316-4DE4-A275-8A4516AFBDD7}" name="PRODUCT_NAME" dataDxfId="30" dataCellStyle="Normal"/>
    <tableColumn id="3" xr3:uid="{B91B568C-D054-4D36-8C56-A96FFCDC7551}" name="BRAND_NAME" dataDxfId="29" dataCellStyle="Normal"/>
    <tableColumn id="4" xr3:uid="{F3B95B5E-AB31-4B8F-9B3F-04A27477E75D}" name="QUANTITY" dataDxfId="28" dataCellStyle="Normal"/>
    <tableColumn id="5" xr3:uid="{BB034720-346E-41A8-8BF5-66E2613170E9}" name="CATEGORIES" dataDxfId="27" dataCellStyle="Normal"/>
    <tableColumn id="6" xr3:uid="{35245AB8-8A5E-41C8-BE4B-F27655D0592C}" name="PRICE" dataDxfId="26" dataCellStyle="Normal"/>
    <tableColumn id="7" xr3:uid="{E3D1DFC8-1505-4BFE-BEB9-A57FE579CC4C}" name="PRICE RANGE" dataDxfId="25" dataCellStyle="Normal">
      <calculatedColumnFormula>IF(F2&gt;=500,"HIGH PRICE","STANDARD PRICE")</calculatedColumnFormula>
    </tableColumn>
    <tableColumn id="8" xr3:uid="{4C87A781-A1CA-4EE7-8662-9F87F9BA454E}" name="PRODUCT CODE" dataDxfId="24" dataCellStyle="Normal">
      <calculatedColumnFormula>LEFT(A2,2)</calculatedColumnFormula>
    </tableColumn>
    <tableColumn id="9" xr3:uid="{E52554A1-34E9-4394-AFFF-F1CE5EBED759}" name="COUNTRY CODE" dataDxfId="23" dataCellStyle="Normal">
      <calculatedColumnFormula>RIGHT(A2,2)</calculatedColumnFormula>
    </tableColumn>
    <tableColumn id="10" xr3:uid="{8AB80FF7-9ECF-4E78-B63B-C79E34C4C2A9}" name="MONTH" dataDxfId="22" dataCellStyle="Normal">
      <calculatedColumnFormula>MID(A2,5,3)</calculatedColumnFormula>
    </tableColumn>
    <tableColumn id="12" xr3:uid="{4C424DD2-5861-4271-BEAE-17F47DA69AE1}" name="PRICE_BLANK" dataDxfId="21" dataCellStyle="Normal">
      <calculatedColumnFormula>ISBLANK(F2)</calculatedColumnFormula>
    </tableColumn>
    <tableColumn id="13" xr3:uid="{4B5A4785-BE30-4CF9-AEBA-DEDF2B59D93E}" name="MANUFACTURING_DATE" dataDxfId="20" dataCellStyle="Normal">
      <calculatedColumnFormula>MID(A2,4,6)</calculatedColumnFormula>
    </tableColumn>
    <tableColumn id="14" xr3:uid="{45BE759D-DC90-45F6-B248-79BEB1B44D77}" name="COUNTRY_CODE" dataDxfId="19" dataCellStyle="Normal">
      <calculatedColumnFormula>LEFT(A2,2)</calculatedColumnFormula>
    </tableColumn>
    <tableColumn id="15" xr3:uid="{4FD3AD7E-E957-4362-B778-F99DED45D581}" name="MERGING" dataDxfId="18" dataCellStyle="Normal">
      <calculatedColumnFormula>CONCATENATE(B2," (",C2,")")</calculatedColumnFormula>
    </tableColumn>
    <tableColumn id="20" xr3:uid="{D0FC7920-8C94-4868-89A7-31B086A73C0B}" name="DAY" dataDxfId="17">
      <calculatedColumnFormula>LEFT(L2,1)</calculatedColumnFormula>
    </tableColumn>
    <tableColumn id="19" xr3:uid="{F277FD8B-91E4-4768-9B04-85040A380029}" name="YEAR" dataDxfId="16" dataCellStyle="Normal">
      <calculatedColumnFormula>RIGHT(L2,2)</calculatedColumnFormula>
    </tableColumn>
    <tableColumn id="23" xr3:uid="{8C45D2BC-B5A7-4563-8545-62969158193D}" name="MONTH2" dataDxfId="15" dataCellStyle="Normal">
      <calculatedColumnFormula>MONTH(L2)</calculatedColumnFormula>
    </tableColumn>
    <tableColumn id="24" xr3:uid="{F1676278-F7B0-47A4-AFB0-C5591501C932}" name="DATE" dataDxfId="14" dataCellStyle="Normal">
      <calculatedColumnFormula>DATE(P2,Q2,O2)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8C224E-9DB3-4B11-A634-CCF9A9E3BD54}" name="Table14" displayName="Table14" ref="A1:K31" totalsRowShown="0" headerRowDxfId="141" dataDxfId="0" headerRowBorderDxfId="139" tableBorderDxfId="140" totalsRowBorderDxfId="138">
  <autoFilter ref="A1:K31" xr:uid="{558C224E-9DB3-4B11-A634-CCF9A9E3BD54}"/>
  <tableColumns count="11">
    <tableColumn id="1" xr3:uid="{8B5EB222-688D-4066-924A-6434777B5BE3}" name="PRODUCT_ID" dataDxfId="11"/>
    <tableColumn id="2" xr3:uid="{88070F4B-7E73-4E65-AD1D-DF9A1F6AA3EE}" name="PRODUCT_NAME" dataDxfId="10"/>
    <tableColumn id="3" xr3:uid="{69A1E8FB-4DAF-4091-84F6-3909FB0D3CE4}" name="BRAND_NAME" dataDxfId="9"/>
    <tableColumn id="4" xr3:uid="{3708FD2C-E444-43C3-9C0B-05D688C31EF5}" name="QUANTITY" dataDxfId="8"/>
    <tableColumn id="5" xr3:uid="{3FD5AFDA-118F-48B7-BA15-0576D192FDBE}" name="CATEGORIES" dataDxfId="7"/>
    <tableColumn id="6" xr3:uid="{395DD3DB-A5BF-4445-B3D9-D328C09FEF60}" name="PRICE" dataDxfId="6"/>
    <tableColumn id="7" xr3:uid="{F08C981D-E160-4584-B65A-420B4532F612}" name="PRICE RANGE" dataDxfId="5">
      <calculatedColumnFormula>IF(F2&gt;=500,"HIGH PRICE","STANDARD PRICE")</calculatedColumnFormula>
    </tableColumn>
    <tableColumn id="8" xr3:uid="{5E68B424-5CEC-40E8-903C-348C2317B1F4}" name="DAY" dataDxfId="4">
      <calculatedColumnFormula>LEFT(A2,2)</calculatedColumnFormula>
    </tableColumn>
    <tableColumn id="9" xr3:uid="{05769440-50FD-4B2B-95CE-F6E21702A16E}" name="COUNTRY CODE" dataDxfId="3">
      <calculatedColumnFormula>RIGHT(A2,2)</calculatedColumnFormula>
    </tableColumn>
    <tableColumn id="10" xr3:uid="{9FF067D5-7E23-4D5E-9854-391267966862}" name="MONTH" dataDxfId="2">
      <calculatedColumnFormula>MID(A2,4,3)</calculatedColumnFormula>
    </tableColumn>
    <tableColumn id="11" xr3:uid="{8A306C3E-5435-42E9-A80A-BE78E745EBD9}" name="PRICE_BLANK" dataDxfId="1">
      <calculatedColumnFormula>ISBLANK(F2)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7079CA-A699-45B7-8E27-056270A19E7D}" name="Table13" displayName="Table13" ref="A1:K31" totalsRowShown="0" headerRowDxfId="137" dataDxfId="125" headerRowBorderDxfId="143" tableBorderDxfId="144" totalsRowBorderDxfId="142">
  <autoFilter ref="A1:K31" xr:uid="{B67079CA-A699-45B7-8E27-056270A19E7D}"/>
  <tableColumns count="11">
    <tableColumn id="1" xr3:uid="{464F8D77-C337-4200-BE9E-0A72DEF8962B}" name="PRODUCT_ID" dataDxfId="112"/>
    <tableColumn id="2" xr3:uid="{AF93FEC7-F71D-43B3-8C10-8C9493CBEDA8}" name="PRODUCT_NAME" dataDxfId="111"/>
    <tableColumn id="3" xr3:uid="{3A0A31B7-2BF8-4802-88F7-D5AC784CD1D9}" name="BRAND_NAME" dataDxfId="110"/>
    <tableColumn id="4" xr3:uid="{BAE43DA9-2C5F-44EA-8EE3-80CE2DB56D4E}" name="QUANTITY" dataDxfId="109"/>
    <tableColumn id="5" xr3:uid="{D3F40B2B-9EB1-4926-B19B-7A07498D54EC}" name="CATEGORIES" dataDxfId="108"/>
    <tableColumn id="6" xr3:uid="{8E354F05-18B3-4E94-9F8D-6509A758B0DA}" name="PRICE" dataDxfId="107"/>
    <tableColumn id="7" xr3:uid="{41898AEC-C301-4E0A-810E-78062F805FC5}" name="PRICE RANGE" dataDxfId="106">
      <calculatedColumnFormula>IF(F2&gt;=500,"HIGH PRICE","STANDARD PRICE")</calculatedColumnFormula>
    </tableColumn>
    <tableColumn id="8" xr3:uid="{CE2AC5B7-1771-4847-B68D-C7BC936098F0}" name="DAY" dataDxfId="105">
      <calculatedColumnFormula>LEFT(A2,2)</calculatedColumnFormula>
    </tableColumn>
    <tableColumn id="9" xr3:uid="{DA72C023-456C-4BF9-A9D8-B5962A210974}" name="COUNTRY CODE" dataDxfId="104">
      <calculatedColumnFormula>RIGHT(A2,2)</calculatedColumnFormula>
    </tableColumn>
    <tableColumn id="10" xr3:uid="{07E26AF5-C8F2-49AB-B5AB-F12742EC20ED}" name="MONTH" dataDxfId="103">
      <calculatedColumnFormula>MID(A2,4,3)</calculatedColumnFormula>
    </tableColumn>
    <tableColumn id="12" xr3:uid="{569153EB-AD06-46AD-BBF0-49B744D31482}" name="PRICE_BLANK" dataDxfId="102">
      <calculatedColumnFormula>ISBLANK(F2)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251828-6649-461C-B6DB-9E34A93BE095}" name="Table135" displayName="Table135" ref="A1:K31" totalsRowShown="0" headerRowDxfId="136" dataDxfId="124" headerRowBorderDxfId="134" tableBorderDxfId="135" totalsRowBorderDxfId="133" dataCellStyle="Normal">
  <autoFilter ref="A1:K31" xr:uid="{30251828-6649-461C-B6DB-9E34A93BE095}"/>
  <tableColumns count="11">
    <tableColumn id="1" xr3:uid="{044CC805-C25A-4DF7-992C-0C0AC01C7212}" name="PRODUCT_ID" dataDxfId="123" dataCellStyle="Normal"/>
    <tableColumn id="2" xr3:uid="{85B1A065-C7A9-4A18-9421-B077BCC36CEB}" name="PRODUCT_NAME" dataDxfId="122" dataCellStyle="Normal"/>
    <tableColumn id="3" xr3:uid="{9D058BFC-009D-4298-8D6D-81198958A9D3}" name="BRAND_NAME" dataDxfId="121" dataCellStyle="Normal"/>
    <tableColumn id="4" xr3:uid="{81FB8233-08E4-4F86-9D3B-E1FFC6F35C15}" name="QUANTITY" dataDxfId="120" dataCellStyle="Normal"/>
    <tableColumn id="5" xr3:uid="{E22CD81F-77DD-4B15-9C83-62C388112CFE}" name="CATEGORIES" dataDxfId="119" dataCellStyle="Normal"/>
    <tableColumn id="6" xr3:uid="{5EADE6D3-1154-47B4-8C6B-D6000279D9ED}" name="PRICE" dataDxfId="118" dataCellStyle="Normal"/>
    <tableColumn id="7" xr3:uid="{03B6528E-F4D6-48F7-A424-398963198DC9}" name="PRICE RANGE" dataDxfId="117" dataCellStyle="Normal">
      <calculatedColumnFormula>IF(F2&gt;=500,"HIGH PRICE","STANDARD PRICE")</calculatedColumnFormula>
    </tableColumn>
    <tableColumn id="8" xr3:uid="{04BDF1B4-5316-433C-A76E-96387E5BF5C1}" name="DAY" dataDxfId="116" dataCellStyle="Normal">
      <calculatedColumnFormula>LEFT(A2,2)</calculatedColumnFormula>
    </tableColumn>
    <tableColumn id="9" xr3:uid="{5FBAE5E1-3BD7-4AA3-BDE8-C49AE58D477D}" name="COUNTRY CODE" dataDxfId="115" dataCellStyle="Normal">
      <calculatedColumnFormula>RIGHT(A2,2)</calculatedColumnFormula>
    </tableColumn>
    <tableColumn id="10" xr3:uid="{599B619E-3084-4806-9FEC-EC16C2A6683A}" name="MONTH" dataDxfId="114" dataCellStyle="Normal">
      <calculatedColumnFormula>MID(A2,4,3)</calculatedColumnFormula>
    </tableColumn>
    <tableColumn id="12" xr3:uid="{86268F1E-F705-46EA-BD5C-D0AC53C42DAD}" name="PRICE_BLANK" dataDxfId="113" dataCellStyle="Normal">
      <calculatedColumnFormula>ISBLANK(F2)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1801C8-998F-4016-AB38-45F91F464C9E}" name="Table1356" displayName="Table1356" ref="A1:N31" totalsRowShown="0" dataDxfId="101" headerRowBorderDxfId="131" tableBorderDxfId="132" totalsRowBorderDxfId="130" headerRowCellStyle="Accent1" dataCellStyle="Normal">
  <autoFilter ref="A1:N31" xr:uid="{B41801C8-998F-4016-AB38-45F91F464C9E}"/>
  <tableColumns count="14">
    <tableColumn id="1" xr3:uid="{69FD7697-582E-47DF-92B3-40D36878B2A4}" name="PRODUCT_ID" dataDxfId="100" dataCellStyle="Normal"/>
    <tableColumn id="2" xr3:uid="{6E606E3C-E65D-421A-ABB8-D470EAA4D79D}" name="PRODUCT_NAME" dataDxfId="99" dataCellStyle="Normal"/>
    <tableColumn id="3" xr3:uid="{267D44B0-6459-491C-A4B1-1CAE866367DB}" name="BRAND_NAME" dataDxfId="98" dataCellStyle="Normal"/>
    <tableColumn id="4" xr3:uid="{E6C260FA-200B-4AC6-8EDB-13FDA2185798}" name="QUANTITY" dataDxfId="97" dataCellStyle="Normal"/>
    <tableColumn id="5" xr3:uid="{9D697CBD-999D-427F-BFBE-A92F9B52B436}" name="CATEGORIES" dataDxfId="96" dataCellStyle="Normal"/>
    <tableColumn id="6" xr3:uid="{09A7472B-4C29-4C3B-BD80-0B17D8F3CA2D}" name="PRICE" dataDxfId="95" dataCellStyle="Normal"/>
    <tableColumn id="7" xr3:uid="{2C1004D9-185F-4BC5-AD5E-6249FA1399DD}" name="PRICE RANGE" dataDxfId="94" dataCellStyle="Normal">
      <calculatedColumnFormula>IF(F2&gt;=500,"HIGH PRICE","STANDARD PRICE")</calculatedColumnFormula>
    </tableColumn>
    <tableColumn id="8" xr3:uid="{DD9AD684-AF43-438C-828A-711B982EFA75}" name="DAY" dataDxfId="93" dataCellStyle="Normal">
      <calculatedColumnFormula>LEFT(A2,2)</calculatedColumnFormula>
    </tableColumn>
    <tableColumn id="9" xr3:uid="{340A0F2F-1F08-45B3-8248-BC9B6FFF3243}" name="COUNTRY CODE" dataDxfId="92" dataCellStyle="Normal">
      <calculatedColumnFormula>RIGHT(A2,2)</calculatedColumnFormula>
    </tableColumn>
    <tableColumn id="10" xr3:uid="{587AD9E1-4D3C-4D2E-81D4-B417064D0B03}" name="MONTH" dataDxfId="91" dataCellStyle="Normal">
      <calculatedColumnFormula>MID(A2,4,3)</calculatedColumnFormula>
    </tableColumn>
    <tableColumn id="12" xr3:uid="{3C54F11C-4DF6-422B-91C3-E23E8753DE20}" name="PRICE_BLANK" dataDxfId="90" dataCellStyle="Normal">
      <calculatedColumnFormula>ISBLANK(F2)</calculatedColumnFormula>
    </tableColumn>
    <tableColumn id="13" xr3:uid="{76BF9E0F-C748-4237-8160-C344F1BB6549}" name="MANUFACTURING_DATE" dataDxfId="89" dataCellStyle="Normal">
      <calculatedColumnFormula>MID(A2,3,6)</calculatedColumnFormula>
    </tableColumn>
    <tableColumn id="14" xr3:uid="{8E47795F-0107-45EE-A1BE-C9BE1A61D39C}" name="COUNTRY_CODE" dataDxfId="88" dataCellStyle="Normal">
      <calculatedColumnFormula>LEFT(A2,2)</calculatedColumnFormula>
    </tableColumn>
    <tableColumn id="15" xr3:uid="{2AAE0A1F-68DC-4286-B822-90C8FA7739BE}" name="MERGING" dataDxfId="87" dataCellStyle="Normal">
      <calculatedColumnFormula>CONCATENATE(B2," (",C2,")")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87A262-F2C4-4A09-B072-C0805EE2AD50}" name="Table13567" displayName="Table13567" ref="A1:R31" totalsRowShown="0" headerRowDxfId="129" dataDxfId="86" headerRowBorderDxfId="127" tableBorderDxfId="128" totalsRowBorderDxfId="126" dataCellStyle="Normal">
  <autoFilter ref="A1:R31" xr:uid="{E887A262-F2C4-4A09-B072-C0805EE2AD50}"/>
  <tableColumns count="18">
    <tableColumn id="1" xr3:uid="{D5957892-C0F6-49A1-A7E8-774EFA24CAF7}" name="PRODUCT_ID" dataDxfId="85" dataCellStyle="Normal"/>
    <tableColumn id="2" xr3:uid="{F72EE02F-7543-4B43-88AB-87BA9AC17E14}" name="PRODUCT_NAME" dataDxfId="84" dataCellStyle="Normal"/>
    <tableColumn id="3" xr3:uid="{9A9A4C2D-80C6-4A23-BFC8-2C74A343E32B}" name="BRAND_NAME" dataDxfId="83" dataCellStyle="Normal"/>
    <tableColumn id="4" xr3:uid="{86FA30D0-015A-4717-821A-8451EA408891}" name="QUANTITY" dataDxfId="82" dataCellStyle="Normal"/>
    <tableColumn id="5" xr3:uid="{C5C12733-B9D9-4B21-AD4E-FFEF7305237B}" name="CATEGORIES" dataDxfId="81" dataCellStyle="Normal"/>
    <tableColumn id="6" xr3:uid="{6719F338-5A63-49BA-9553-89245AAD951E}" name="PRICE" dataDxfId="80" dataCellStyle="Normal"/>
    <tableColumn id="7" xr3:uid="{15723F0D-1FBB-44D3-AB52-2D01F904FFD8}" name="PRICE RANGE" dataDxfId="79" dataCellStyle="Normal">
      <calculatedColumnFormula>IF(F2&gt;=500,"HIGH PRICE","STANDARD PRICE")</calculatedColumnFormula>
    </tableColumn>
    <tableColumn id="8" xr3:uid="{0DC09B8D-2142-405E-9F85-2116747C5D87}" name="PRODUCT CODE" dataDxfId="78" dataCellStyle="Normal">
      <calculatedColumnFormula>LEFT(A2,2)</calculatedColumnFormula>
    </tableColumn>
    <tableColumn id="9" xr3:uid="{98E2DEFC-D08E-4D98-A557-8E14C955B5D0}" name="COUNTRY CODE" dataDxfId="77" dataCellStyle="Normal">
      <calculatedColumnFormula>RIGHT(A2,2)</calculatedColumnFormula>
    </tableColumn>
    <tableColumn id="10" xr3:uid="{D04C455A-6D06-4BEF-A2DD-7410E5126DA4}" name="MONTH" dataDxfId="70" dataCellStyle="Normal">
      <calculatedColumnFormula>MID(A2,5,3)</calculatedColumnFormula>
    </tableColumn>
    <tableColumn id="12" xr3:uid="{32C7B0E2-4DB6-4385-ADEE-D5FE2BEA71DA}" name="PRICE_BLANK" dataDxfId="68" dataCellStyle="Normal">
      <calculatedColumnFormula>ISBLANK(F2)</calculatedColumnFormula>
    </tableColumn>
    <tableColumn id="13" xr3:uid="{C25D47A6-8A1E-43DF-BD6F-9014E2423CBD}" name="MANUFACTURING_DATE" dataDxfId="69" dataCellStyle="Normal">
      <calculatedColumnFormula>MID(A2,4,6)</calculatedColumnFormula>
    </tableColumn>
    <tableColumn id="14" xr3:uid="{519EC217-D553-4CE9-84E3-1CC4CE864A0B}" name="COUNTRY_CODE" dataDxfId="76" dataCellStyle="Normal">
      <calculatedColumnFormula>LEFT(A2,2)</calculatedColumnFormula>
    </tableColumn>
    <tableColumn id="15" xr3:uid="{F017ED9D-3432-4B38-8DCB-DBDD82BD0BE2}" name="MERGING" dataDxfId="75" dataCellStyle="Normal">
      <calculatedColumnFormula>CONCATENATE(B2," (",C2,")")</calculatedColumnFormula>
    </tableColumn>
    <tableColumn id="20" xr3:uid="{BEF64646-FC4B-481B-B468-AC45D6BA0A92}" name="DAY" dataDxfId="74">
      <calculatedColumnFormula>LEFT(L2,1)</calculatedColumnFormula>
    </tableColumn>
    <tableColumn id="19" xr3:uid="{CADA26C3-1792-4A3D-A014-217A6985ED58}" name="YEAR" dataDxfId="73" dataCellStyle="Normal">
      <calculatedColumnFormula>RIGHT(L2,2)</calculatedColumnFormula>
    </tableColumn>
    <tableColumn id="23" xr3:uid="{DED178A9-2461-44ED-9588-633E565CD659}" name="MONTH2" dataDxfId="72" dataCellStyle="Normal">
      <calculatedColumnFormula>MONTH(L2)</calculatedColumnFormula>
    </tableColumn>
    <tableColumn id="24" xr3:uid="{3C22ACA3-C56C-40C7-ABEF-9F8F4FF56146}" name="DATE" dataDxfId="71" dataCellStyle="Normal">
      <calculatedColumnFormula>DATE(P2,Q2,O2)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13FD93-984B-474A-8CD4-65A638E215B4}" name="Table135678" displayName="Table135678" ref="A1:R31" totalsRowShown="0" headerRowDxfId="67" dataDxfId="66" headerRowBorderDxfId="64" tableBorderDxfId="65" totalsRowBorderDxfId="63" dataCellStyle="Normal">
  <autoFilter ref="A1:R31" xr:uid="{2E13FD93-984B-474A-8CD4-65A638E215B4}"/>
  <tableColumns count="18">
    <tableColumn id="1" xr3:uid="{76634E68-0149-40C6-95EC-59C6BF3937AF}" name="PRODUCT_ID" dataDxfId="62" dataCellStyle="Normal"/>
    <tableColumn id="2" xr3:uid="{0B28AD78-06BF-4666-9354-B45DF584571A}" name="PRODUCT_NAME" dataDxfId="61" dataCellStyle="Normal"/>
    <tableColumn id="3" xr3:uid="{65E022E1-EBF1-4E2F-8BA9-FC158C990FBB}" name="BRAND_NAME" dataDxfId="60" dataCellStyle="Normal"/>
    <tableColumn id="4" xr3:uid="{708221CE-6A05-4C7B-B0BD-22F9706B6C25}" name="QUANTITY" dataDxfId="59" dataCellStyle="Normal"/>
    <tableColumn id="5" xr3:uid="{F860A8F3-2519-4567-890A-3DEAF08F7E4E}" name="CATEGORIES" dataDxfId="58" dataCellStyle="Normal"/>
    <tableColumn id="6" xr3:uid="{4CB7BB71-660E-4D69-925F-0CCC6700C0A0}" name="PRICE" dataDxfId="57" dataCellStyle="Normal"/>
    <tableColumn id="7" xr3:uid="{FDC6E1BC-B948-47A9-B573-8676D7CCF106}" name="PRICE RANGE" dataDxfId="56" dataCellStyle="Normal">
      <calculatedColumnFormula>IF(F2&gt;=500,"HIGH PRICE","STANDARD PRICE")</calculatedColumnFormula>
    </tableColumn>
    <tableColumn id="8" xr3:uid="{121DE3CF-7461-46B6-B5E1-A77972BB3F4C}" name="PRODUCT CODE" dataDxfId="55" dataCellStyle="Normal">
      <calculatedColumnFormula>LEFT(A2,2)</calculatedColumnFormula>
    </tableColumn>
    <tableColumn id="9" xr3:uid="{B64E508F-C24D-4CD1-83DE-80BD0131A48E}" name="COUNTRY CODE" dataDxfId="54" dataCellStyle="Normal">
      <calculatedColumnFormula>RIGHT(A2,2)</calculatedColumnFormula>
    </tableColumn>
    <tableColumn id="10" xr3:uid="{6ACCC2C4-DCCF-4975-8A7C-1488A7BCCE08}" name="MONTH" dataDxfId="53" dataCellStyle="Normal">
      <calculatedColumnFormula>MID(A2,5,3)</calculatedColumnFormula>
    </tableColumn>
    <tableColumn id="12" xr3:uid="{DB131A41-C42B-453A-8D1F-35B802BF29AC}" name="PRICE_BLANK" dataDxfId="52" dataCellStyle="Normal">
      <calculatedColumnFormula>ISBLANK(F2)</calculatedColumnFormula>
    </tableColumn>
    <tableColumn id="13" xr3:uid="{80013CD5-B323-4DD5-A87F-F8254D546A7F}" name="MANUFACTURING_DATE" dataDxfId="51" dataCellStyle="Normal">
      <calculatedColumnFormula>MID(A2,4,6)</calculatedColumnFormula>
    </tableColumn>
    <tableColumn id="14" xr3:uid="{AA82EA50-7F7C-4C80-A6DE-FE571BE5BDD8}" name="COUNTRY_CODE" dataDxfId="50" dataCellStyle="Normal">
      <calculatedColumnFormula>LEFT(A2,2)</calculatedColumnFormula>
    </tableColumn>
    <tableColumn id="15" xr3:uid="{B4CFAEE7-170A-424A-99D6-A1087480C3F0}" name="MERGING" dataDxfId="49" dataCellStyle="Normal">
      <calculatedColumnFormula>CONCATENATE(B2," (",C2,")")</calculatedColumnFormula>
    </tableColumn>
    <tableColumn id="20" xr3:uid="{19A26912-DB18-45C9-9D87-E0A73C0677C6}" name="DAY" dataDxfId="48">
      <calculatedColumnFormula>LEFT(L2,1)</calculatedColumnFormula>
    </tableColumn>
    <tableColumn id="19" xr3:uid="{5E81B545-0288-4A10-8B55-E699E56C868C}" name="YEAR" dataDxfId="47" dataCellStyle="Normal">
      <calculatedColumnFormula>RIGHT(L2,2)</calculatedColumnFormula>
    </tableColumn>
    <tableColumn id="23" xr3:uid="{243311D2-4E12-4F9E-AF79-D956AFC93D5B}" name="MONTH2" dataDxfId="46" dataCellStyle="Normal">
      <calculatedColumnFormula>MONTH(L2)</calculatedColumnFormula>
    </tableColumn>
    <tableColumn id="24" xr3:uid="{1CDFA0EA-9039-45B7-97A9-D39DD9F909DD}" name="DATE" dataDxfId="45" dataCellStyle="Normal">
      <calculatedColumnFormula>DATE(P2,Q2,O2)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5B68-4667-462B-BA46-A4646EB60E3B}">
  <dimension ref="A1:R38"/>
  <sheetViews>
    <sheetView workbookViewId="0">
      <selection activeCell="C8" sqref="C8"/>
    </sheetView>
  </sheetViews>
  <sheetFormatPr defaultRowHeight="15" x14ac:dyDescent="0.25"/>
  <cols>
    <col min="1" max="1" width="24.140625" style="5" bestFit="1" customWidth="1"/>
    <col min="2" max="2" width="29.5703125" style="5" bestFit="1" customWidth="1"/>
    <col min="3" max="3" width="25.5703125" style="5" bestFit="1" customWidth="1"/>
    <col min="4" max="4" width="20.42578125" style="5" bestFit="1" customWidth="1"/>
    <col min="5" max="5" width="24.42578125" style="5" bestFit="1" customWidth="1"/>
    <col min="6" max="6" width="14.42578125" style="5" bestFit="1" customWidth="1"/>
    <col min="7" max="7" width="25.28515625" style="5" bestFit="1" customWidth="1"/>
    <col min="8" max="8" width="28.5703125" style="5" bestFit="1" customWidth="1"/>
    <col min="9" max="9" width="28.7109375" style="5" bestFit="1" customWidth="1"/>
    <col min="10" max="10" width="16.42578125" style="5" bestFit="1" customWidth="1"/>
    <col min="11" max="11" width="25.5703125" style="5" bestFit="1" customWidth="1"/>
    <col min="12" max="12" width="40.42578125" style="5" bestFit="1" customWidth="1"/>
    <col min="13" max="13" width="29.42578125" style="5" bestFit="1" customWidth="1"/>
    <col min="14" max="14" width="38.28515625" style="5" bestFit="1" customWidth="1"/>
    <col min="15" max="15" width="11.5703125" style="5" bestFit="1" customWidth="1"/>
    <col min="16" max="16" width="13.42578125" style="5" bestFit="1" customWidth="1"/>
    <col min="17" max="17" width="18" style="5" bestFit="1" customWidth="1"/>
    <col min="18" max="18" width="13.42578125" style="5" bestFit="1" customWidth="1"/>
    <col min="19" max="16384" width="9.140625" style="5"/>
  </cols>
  <sheetData>
    <row r="1" spans="1:18" s="4" customFormat="1" ht="20.25" x14ac:dyDescent="0.3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119</v>
      </c>
      <c r="I1" s="41" t="s">
        <v>8</v>
      </c>
      <c r="J1" s="42" t="s">
        <v>9</v>
      </c>
      <c r="K1" s="41" t="s">
        <v>65</v>
      </c>
      <c r="L1" s="41" t="s">
        <v>83</v>
      </c>
      <c r="M1" s="41" t="s">
        <v>84</v>
      </c>
      <c r="N1" s="41" t="s">
        <v>85</v>
      </c>
      <c r="O1" s="41" t="s">
        <v>7</v>
      </c>
      <c r="P1" s="41" t="s">
        <v>118</v>
      </c>
      <c r="Q1" s="41" t="s">
        <v>117</v>
      </c>
      <c r="R1" s="41" t="s">
        <v>116</v>
      </c>
    </row>
    <row r="2" spans="1:18" ht="30" customHeight="1" x14ac:dyDescent="0.25">
      <c r="A2" s="17" t="s">
        <v>120</v>
      </c>
      <c r="B2" s="17" t="s">
        <v>10</v>
      </c>
      <c r="C2" s="17" t="s">
        <v>11</v>
      </c>
      <c r="D2" s="17">
        <v>20</v>
      </c>
      <c r="E2" s="17" t="s">
        <v>12</v>
      </c>
      <c r="F2" s="33">
        <v>130</v>
      </c>
      <c r="G2" s="17" t="str">
        <f t="shared" ref="G2:G31" si="0">IF(F2&gt;=500,"HIGH PRICE","STANDARD PRICE")</f>
        <v>STANDARD PRICE</v>
      </c>
      <c r="H2" s="17" t="str">
        <f t="shared" ref="H2:H31" si="1">LEFT(A2,2)</f>
        <v>38</v>
      </c>
      <c r="I2" s="17" t="str">
        <f t="shared" ref="I2:I31" si="2">RIGHT(A2,2)</f>
        <v>IN</v>
      </c>
      <c r="J2" s="17" t="str">
        <f t="shared" ref="J2:J31" si="3">MID(A2,5,3)</f>
        <v>JAN</v>
      </c>
      <c r="K2" s="17" t="b">
        <f t="shared" ref="K2:K31" si="4">ISBLANK(F2)</f>
        <v>0</v>
      </c>
      <c r="L2" s="17" t="str">
        <f>MID(A2,4,6)</f>
        <v>1JAN23</v>
      </c>
      <c r="M2" s="17" t="str">
        <f t="shared" ref="M2:M31" si="5">LEFT(A2,2)</f>
        <v>38</v>
      </c>
      <c r="N2" s="17" t="str">
        <f t="shared" ref="N2:N31" si="6">CONCATENATE(B2," (",C2,")")</f>
        <v>Keyboard (Microsoft)</v>
      </c>
      <c r="O2" s="34" t="str">
        <f t="shared" ref="O2:O31" si="7">LEFT(L2,1)</f>
        <v>1</v>
      </c>
      <c r="P2" s="35" t="str">
        <f>RIGHT(L2,2)</f>
        <v>23</v>
      </c>
      <c r="Q2" s="36">
        <f t="shared" ref="Q2:Q31" si="8">MONTH(L2)</f>
        <v>1</v>
      </c>
      <c r="R2" s="37">
        <f t="shared" ref="R2:R31" si="9">DATE(P2,Q2,O2)</f>
        <v>8402</v>
      </c>
    </row>
    <row r="3" spans="1:18" ht="30" customHeight="1" x14ac:dyDescent="0.25">
      <c r="A3" s="17" t="s">
        <v>86</v>
      </c>
      <c r="B3" s="17" t="s">
        <v>68</v>
      </c>
      <c r="C3" s="17" t="s">
        <v>14</v>
      </c>
      <c r="D3" s="17">
        <v>39</v>
      </c>
      <c r="E3" s="17" t="s">
        <v>15</v>
      </c>
      <c r="F3" s="33">
        <v>600</v>
      </c>
      <c r="G3" s="17" t="str">
        <f t="shared" si="0"/>
        <v>HIGH PRICE</v>
      </c>
      <c r="H3" s="17" t="str">
        <f t="shared" si="1"/>
        <v>35</v>
      </c>
      <c r="I3" s="17" t="str">
        <f t="shared" si="2"/>
        <v>US</v>
      </c>
      <c r="J3" s="17" t="str">
        <f t="shared" si="3"/>
        <v>FEB</v>
      </c>
      <c r="K3" s="17" t="b">
        <f t="shared" si="4"/>
        <v>0</v>
      </c>
      <c r="L3" s="17" t="str">
        <f t="shared" ref="L3:L31" si="10">MID(A3,4,6)</f>
        <v>2FEB22</v>
      </c>
      <c r="M3" s="17" t="str">
        <f t="shared" si="5"/>
        <v>35</v>
      </c>
      <c r="N3" s="17" t="str">
        <f t="shared" si="6"/>
        <v>Lab Chair (Lotus)</v>
      </c>
      <c r="O3" s="17" t="str">
        <f t="shared" si="7"/>
        <v>2</v>
      </c>
      <c r="P3" s="36" t="str">
        <f t="shared" ref="P3:P31" si="11">RIGHT(L3,2)</f>
        <v>22</v>
      </c>
      <c r="Q3" s="36">
        <f t="shared" si="8"/>
        <v>2</v>
      </c>
      <c r="R3" s="37">
        <f t="shared" si="9"/>
        <v>8069</v>
      </c>
    </row>
    <row r="4" spans="1:18" ht="30" customHeight="1" x14ac:dyDescent="0.25">
      <c r="A4" s="17" t="s">
        <v>88</v>
      </c>
      <c r="B4" s="17" t="s">
        <v>16</v>
      </c>
      <c r="C4" s="17" t="s">
        <v>17</v>
      </c>
      <c r="D4" s="17">
        <v>25</v>
      </c>
      <c r="E4" s="17" t="s">
        <v>12</v>
      </c>
      <c r="F4" s="33">
        <v>2500</v>
      </c>
      <c r="G4" s="17" t="str">
        <f t="shared" si="0"/>
        <v>HIGH PRICE</v>
      </c>
      <c r="H4" s="17" t="str">
        <f t="shared" si="1"/>
        <v>33</v>
      </c>
      <c r="I4" s="17" t="str">
        <f t="shared" si="2"/>
        <v>FR</v>
      </c>
      <c r="J4" s="17" t="str">
        <f t="shared" si="3"/>
        <v>MAR</v>
      </c>
      <c r="K4" s="17" t="b">
        <f t="shared" si="4"/>
        <v>0</v>
      </c>
      <c r="L4" s="17" t="str">
        <f t="shared" si="10"/>
        <v>3MAR23</v>
      </c>
      <c r="M4" s="17" t="str">
        <f t="shared" si="5"/>
        <v>33</v>
      </c>
      <c r="N4" s="17" t="str">
        <f t="shared" si="6"/>
        <v>Monitor (Philips)</v>
      </c>
      <c r="O4" s="17" t="str">
        <f t="shared" si="7"/>
        <v>3</v>
      </c>
      <c r="P4" s="36" t="str">
        <f t="shared" si="11"/>
        <v>23</v>
      </c>
      <c r="Q4" s="36">
        <f t="shared" si="8"/>
        <v>3</v>
      </c>
      <c r="R4" s="37">
        <f t="shared" si="9"/>
        <v>8463</v>
      </c>
    </row>
    <row r="5" spans="1:18" ht="30" customHeight="1" x14ac:dyDescent="0.25">
      <c r="A5" s="17" t="s">
        <v>89</v>
      </c>
      <c r="B5" s="17" t="s">
        <v>18</v>
      </c>
      <c r="C5" s="17" t="s">
        <v>19</v>
      </c>
      <c r="D5" s="17">
        <v>40</v>
      </c>
      <c r="E5" s="17" t="s">
        <v>20</v>
      </c>
      <c r="F5" s="33">
        <v>160</v>
      </c>
      <c r="G5" s="17" t="str">
        <f t="shared" si="0"/>
        <v>STANDARD PRICE</v>
      </c>
      <c r="H5" s="17" t="str">
        <f t="shared" si="1"/>
        <v>30</v>
      </c>
      <c r="I5" s="17" t="str">
        <f t="shared" si="2"/>
        <v>ER</v>
      </c>
      <c r="J5" s="17" t="str">
        <f t="shared" si="3"/>
        <v>APR</v>
      </c>
      <c r="K5" s="17" t="b">
        <f t="shared" si="4"/>
        <v>0</v>
      </c>
      <c r="L5" s="17" t="str">
        <f t="shared" si="10"/>
        <v>4APR16</v>
      </c>
      <c r="M5" s="17" t="str">
        <f t="shared" si="5"/>
        <v>30</v>
      </c>
      <c r="N5" s="17" t="str">
        <f t="shared" si="6"/>
        <v>Butter (Amul)</v>
      </c>
      <c r="O5" s="17" t="str">
        <f t="shared" si="7"/>
        <v>4</v>
      </c>
      <c r="P5" s="36" t="str">
        <f t="shared" si="11"/>
        <v>16</v>
      </c>
      <c r="Q5" s="36">
        <f t="shared" si="8"/>
        <v>4</v>
      </c>
      <c r="R5" s="37">
        <f t="shared" si="9"/>
        <v>5939</v>
      </c>
    </row>
    <row r="6" spans="1:18" ht="30" customHeight="1" x14ac:dyDescent="0.25">
      <c r="A6" s="17" t="s">
        <v>90</v>
      </c>
      <c r="B6" s="17" t="s">
        <v>21</v>
      </c>
      <c r="C6" s="17" t="s">
        <v>11</v>
      </c>
      <c r="D6" s="17">
        <v>50</v>
      </c>
      <c r="E6" s="17" t="s">
        <v>12</v>
      </c>
      <c r="F6" s="33">
        <v>45000</v>
      </c>
      <c r="G6" s="17" t="str">
        <f t="shared" si="0"/>
        <v>HIGH PRICE</v>
      </c>
      <c r="H6" s="17" t="str">
        <f t="shared" si="1"/>
        <v>46</v>
      </c>
      <c r="I6" s="17" t="str">
        <f t="shared" si="2"/>
        <v>IS</v>
      </c>
      <c r="J6" s="17" t="str">
        <f t="shared" si="3"/>
        <v>MAY</v>
      </c>
      <c r="K6" s="17" t="b">
        <f t="shared" si="4"/>
        <v>0</v>
      </c>
      <c r="L6" s="17" t="str">
        <f t="shared" si="10"/>
        <v>5MAY24</v>
      </c>
      <c r="M6" s="17" t="str">
        <f t="shared" si="5"/>
        <v>46</v>
      </c>
      <c r="N6" s="17" t="str">
        <f t="shared" si="6"/>
        <v>Laptop (Microsoft)</v>
      </c>
      <c r="O6" s="17" t="str">
        <f t="shared" si="7"/>
        <v>5</v>
      </c>
      <c r="P6" s="36" t="str">
        <f t="shared" si="11"/>
        <v>24</v>
      </c>
      <c r="Q6" s="36">
        <f t="shared" si="8"/>
        <v>5</v>
      </c>
      <c r="R6" s="37">
        <f t="shared" si="9"/>
        <v>8892</v>
      </c>
    </row>
    <row r="7" spans="1:18" ht="30" customHeight="1" x14ac:dyDescent="0.25">
      <c r="A7" s="17" t="s">
        <v>91</v>
      </c>
      <c r="B7" s="17" t="s">
        <v>22</v>
      </c>
      <c r="C7" s="17" t="s">
        <v>23</v>
      </c>
      <c r="D7" s="17">
        <v>20</v>
      </c>
      <c r="E7" s="17" t="s">
        <v>12</v>
      </c>
      <c r="F7" s="33">
        <v>40000</v>
      </c>
      <c r="G7" s="17" t="str">
        <f t="shared" si="0"/>
        <v>HIGH PRICE</v>
      </c>
      <c r="H7" s="17" t="str">
        <f t="shared" si="1"/>
        <v>23</v>
      </c>
      <c r="I7" s="17" t="str">
        <f t="shared" si="2"/>
        <v>IN</v>
      </c>
      <c r="J7" s="17" t="str">
        <f t="shared" si="3"/>
        <v>JUN</v>
      </c>
      <c r="K7" s="17" t="b">
        <f t="shared" si="4"/>
        <v>0</v>
      </c>
      <c r="L7" s="17" t="str">
        <f t="shared" si="10"/>
        <v>6JUN25</v>
      </c>
      <c r="M7" s="17" t="str">
        <f t="shared" si="5"/>
        <v>23</v>
      </c>
      <c r="N7" s="17" t="str">
        <f t="shared" si="6"/>
        <v>Smartphone (Lenovo)</v>
      </c>
      <c r="O7" s="17" t="str">
        <f t="shared" si="7"/>
        <v>6</v>
      </c>
      <c r="P7" s="36" t="str">
        <f t="shared" si="11"/>
        <v>25</v>
      </c>
      <c r="Q7" s="36">
        <f t="shared" si="8"/>
        <v>6</v>
      </c>
      <c r="R7" s="37">
        <f t="shared" si="9"/>
        <v>9289</v>
      </c>
    </row>
    <row r="8" spans="1:18" ht="30" customHeight="1" x14ac:dyDescent="0.25">
      <c r="A8" s="17" t="s">
        <v>92</v>
      </c>
      <c r="B8" s="17" t="s">
        <v>69</v>
      </c>
      <c r="C8" s="17" t="s">
        <v>25</v>
      </c>
      <c r="D8" s="17">
        <v>25</v>
      </c>
      <c r="E8" s="17" t="s">
        <v>15</v>
      </c>
      <c r="F8" s="33">
        <v>3600</v>
      </c>
      <c r="G8" s="17" t="str">
        <f t="shared" si="0"/>
        <v>HIGH PRICE</v>
      </c>
      <c r="H8" s="17" t="str">
        <f t="shared" si="1"/>
        <v>23</v>
      </c>
      <c r="I8" s="17" t="str">
        <f t="shared" si="2"/>
        <v>EU</v>
      </c>
      <c r="J8" s="17" t="str">
        <f t="shared" si="3"/>
        <v>JUL</v>
      </c>
      <c r="K8" s="17" t="b">
        <f t="shared" si="4"/>
        <v>0</v>
      </c>
      <c r="L8" s="17" t="str">
        <f t="shared" si="10"/>
        <v>7JUL26</v>
      </c>
      <c r="M8" s="17" t="str">
        <f t="shared" si="5"/>
        <v>23</v>
      </c>
      <c r="N8" s="17" t="str">
        <f t="shared" si="6"/>
        <v>Leather Executive Chair (Cassina)</v>
      </c>
      <c r="O8" s="17" t="str">
        <f t="shared" si="7"/>
        <v>7</v>
      </c>
      <c r="P8" s="36" t="str">
        <f t="shared" si="11"/>
        <v>26</v>
      </c>
      <c r="Q8" s="36">
        <f t="shared" si="8"/>
        <v>7</v>
      </c>
      <c r="R8" s="37">
        <f t="shared" si="9"/>
        <v>9685</v>
      </c>
    </row>
    <row r="9" spans="1:18" ht="30" customHeight="1" x14ac:dyDescent="0.25">
      <c r="A9" s="17" t="s">
        <v>93</v>
      </c>
      <c r="B9" s="17" t="s">
        <v>26</v>
      </c>
      <c r="C9" s="17" t="s">
        <v>27</v>
      </c>
      <c r="D9" s="17">
        <v>11</v>
      </c>
      <c r="E9" s="17" t="s">
        <v>12</v>
      </c>
      <c r="F9" s="33">
        <v>54000</v>
      </c>
      <c r="G9" s="17" t="str">
        <f t="shared" si="0"/>
        <v>HIGH PRICE</v>
      </c>
      <c r="H9" s="17" t="str">
        <f t="shared" si="1"/>
        <v>92</v>
      </c>
      <c r="I9" s="17" t="str">
        <f t="shared" si="2"/>
        <v>HU</v>
      </c>
      <c r="J9" s="17" t="str">
        <f t="shared" si="3"/>
        <v>AUG</v>
      </c>
      <c r="K9" s="17" t="b">
        <f t="shared" si="4"/>
        <v>0</v>
      </c>
      <c r="L9" s="17" t="str">
        <f t="shared" si="10"/>
        <v>8AUG25</v>
      </c>
      <c r="M9" s="17" t="str">
        <f t="shared" si="5"/>
        <v>92</v>
      </c>
      <c r="N9" s="17" t="str">
        <f t="shared" si="6"/>
        <v>Tablet (Bose)</v>
      </c>
      <c r="O9" s="17" t="str">
        <f t="shared" si="7"/>
        <v>8</v>
      </c>
      <c r="P9" s="36" t="str">
        <f t="shared" si="11"/>
        <v>25</v>
      </c>
      <c r="Q9" s="36">
        <f t="shared" si="8"/>
        <v>8</v>
      </c>
      <c r="R9" s="37">
        <f t="shared" si="9"/>
        <v>9352</v>
      </c>
    </row>
    <row r="10" spans="1:18" ht="30" customHeight="1" x14ac:dyDescent="0.25">
      <c r="A10" s="17" t="s">
        <v>94</v>
      </c>
      <c r="B10" s="17" t="s">
        <v>28</v>
      </c>
      <c r="C10" s="17" t="s">
        <v>19</v>
      </c>
      <c r="D10" s="17">
        <v>29</v>
      </c>
      <c r="E10" s="17" t="s">
        <v>20</v>
      </c>
      <c r="F10" s="33">
        <v>300</v>
      </c>
      <c r="G10" s="17" t="str">
        <f t="shared" si="0"/>
        <v>STANDARD PRICE</v>
      </c>
      <c r="H10" s="17" t="str">
        <f t="shared" si="1"/>
        <v>34</v>
      </c>
      <c r="I10" s="17" t="str">
        <f t="shared" si="2"/>
        <v>CI</v>
      </c>
      <c r="J10" s="17" t="str">
        <f t="shared" si="3"/>
        <v>SEP</v>
      </c>
      <c r="K10" s="17" t="b">
        <f t="shared" si="4"/>
        <v>0</v>
      </c>
      <c r="L10" s="17" t="str">
        <f t="shared" si="10"/>
        <v>9SEP22</v>
      </c>
      <c r="M10" s="17" t="str">
        <f t="shared" si="5"/>
        <v>34</v>
      </c>
      <c r="N10" s="17" t="str">
        <f t="shared" si="6"/>
        <v>Custard (Amul)</v>
      </c>
      <c r="O10" s="17" t="str">
        <f t="shared" si="7"/>
        <v>9</v>
      </c>
      <c r="P10" s="36" t="str">
        <f t="shared" si="11"/>
        <v>22</v>
      </c>
      <c r="Q10" s="36">
        <f t="shared" si="8"/>
        <v>9</v>
      </c>
      <c r="R10" s="37">
        <f t="shared" si="9"/>
        <v>8288</v>
      </c>
    </row>
    <row r="11" spans="1:18" ht="30" customHeight="1" x14ac:dyDescent="0.25">
      <c r="A11" s="17" t="s">
        <v>95</v>
      </c>
      <c r="B11" s="17" t="s">
        <v>70</v>
      </c>
      <c r="C11" s="17" t="s">
        <v>30</v>
      </c>
      <c r="D11" s="17">
        <v>30</v>
      </c>
      <c r="E11" s="17" t="s">
        <v>12</v>
      </c>
      <c r="F11" s="33">
        <v>12000</v>
      </c>
      <c r="G11" s="17" t="str">
        <f t="shared" si="0"/>
        <v>HIGH PRICE</v>
      </c>
      <c r="H11" s="17" t="str">
        <f t="shared" si="1"/>
        <v>56</v>
      </c>
      <c r="I11" s="17" t="str">
        <f t="shared" si="2"/>
        <v>FR</v>
      </c>
      <c r="J11" s="17" t="str">
        <f t="shared" si="3"/>
        <v>OCT</v>
      </c>
      <c r="K11" s="17" t="b">
        <f t="shared" si="4"/>
        <v>0</v>
      </c>
      <c r="L11" s="17" t="str">
        <f t="shared" si="10"/>
        <v>2OCT24</v>
      </c>
      <c r="M11" s="17" t="str">
        <f t="shared" si="5"/>
        <v>56</v>
      </c>
      <c r="N11" s="17" t="str">
        <f t="shared" si="6"/>
        <v>Desk Chair (Apex)</v>
      </c>
      <c r="O11" s="17" t="str">
        <f t="shared" si="7"/>
        <v>2</v>
      </c>
      <c r="P11" s="36" t="str">
        <f t="shared" si="11"/>
        <v>24</v>
      </c>
      <c r="Q11" s="36">
        <f t="shared" si="8"/>
        <v>10</v>
      </c>
      <c r="R11" s="37">
        <f t="shared" si="9"/>
        <v>9042</v>
      </c>
    </row>
    <row r="12" spans="1:18" ht="30" customHeight="1" x14ac:dyDescent="0.25">
      <c r="A12" s="17" t="s">
        <v>96</v>
      </c>
      <c r="B12" s="17" t="s">
        <v>31</v>
      </c>
      <c r="C12" s="17" t="s">
        <v>32</v>
      </c>
      <c r="D12" s="17">
        <v>5</v>
      </c>
      <c r="E12" s="17" t="s">
        <v>79</v>
      </c>
      <c r="F12" s="33">
        <v>400</v>
      </c>
      <c r="G12" s="17" t="str">
        <f t="shared" si="0"/>
        <v>STANDARD PRICE</v>
      </c>
      <c r="H12" s="17" t="str">
        <f t="shared" si="1"/>
        <v>23</v>
      </c>
      <c r="I12" s="17" t="str">
        <f t="shared" si="2"/>
        <v>US</v>
      </c>
      <c r="J12" s="17" t="str">
        <f t="shared" si="3"/>
        <v>NOV</v>
      </c>
      <c r="K12" s="17" t="b">
        <f t="shared" si="4"/>
        <v>0</v>
      </c>
      <c r="L12" s="17" t="str">
        <f t="shared" si="10"/>
        <v>1NOV21</v>
      </c>
      <c r="M12" s="17" t="str">
        <f t="shared" si="5"/>
        <v>23</v>
      </c>
      <c r="N12" s="17" t="str">
        <f t="shared" si="6"/>
        <v>Baby Towel (Johnson)</v>
      </c>
      <c r="O12" s="17" t="str">
        <f t="shared" si="7"/>
        <v>1</v>
      </c>
      <c r="P12" s="36" t="str">
        <f t="shared" si="11"/>
        <v>21</v>
      </c>
      <c r="Q12" s="36">
        <f t="shared" si="8"/>
        <v>11</v>
      </c>
      <c r="R12" s="37">
        <f t="shared" si="9"/>
        <v>7976</v>
      </c>
    </row>
    <row r="13" spans="1:18" ht="30" customHeight="1" x14ac:dyDescent="0.25">
      <c r="A13" s="17" t="s">
        <v>97</v>
      </c>
      <c r="B13" s="17" t="s">
        <v>34</v>
      </c>
      <c r="C13" s="17" t="s">
        <v>19</v>
      </c>
      <c r="D13" s="17">
        <v>30</v>
      </c>
      <c r="E13" s="17" t="s">
        <v>20</v>
      </c>
      <c r="F13" s="33">
        <v>40</v>
      </c>
      <c r="G13" s="17" t="str">
        <f t="shared" si="0"/>
        <v>STANDARD PRICE</v>
      </c>
      <c r="H13" s="17" t="str">
        <f t="shared" si="1"/>
        <v>89</v>
      </c>
      <c r="I13" s="17" t="str">
        <f t="shared" si="2"/>
        <v>IN</v>
      </c>
      <c r="J13" s="17" t="str">
        <f t="shared" si="3"/>
        <v>DEC</v>
      </c>
      <c r="K13" s="17" t="b">
        <f t="shared" si="4"/>
        <v>0</v>
      </c>
      <c r="L13" s="17" t="str">
        <f t="shared" si="10"/>
        <v>2DEC24</v>
      </c>
      <c r="M13" s="17" t="str">
        <f t="shared" si="5"/>
        <v>89</v>
      </c>
      <c r="N13" s="17" t="str">
        <f t="shared" si="6"/>
        <v>Milk (Amul)</v>
      </c>
      <c r="O13" s="17" t="str">
        <f t="shared" si="7"/>
        <v>2</v>
      </c>
      <c r="P13" s="36" t="str">
        <f t="shared" si="11"/>
        <v>24</v>
      </c>
      <c r="Q13" s="36">
        <f t="shared" si="8"/>
        <v>12</v>
      </c>
      <c r="R13" s="37">
        <f t="shared" si="9"/>
        <v>9103</v>
      </c>
    </row>
    <row r="14" spans="1:18" ht="30" customHeight="1" x14ac:dyDescent="0.25">
      <c r="A14" s="17" t="s">
        <v>98</v>
      </c>
      <c r="B14" s="17" t="s">
        <v>35</v>
      </c>
      <c r="C14" s="17" t="s">
        <v>32</v>
      </c>
      <c r="D14" s="17">
        <v>3</v>
      </c>
      <c r="E14" s="17" t="s">
        <v>79</v>
      </c>
      <c r="F14" s="33">
        <v>220</v>
      </c>
      <c r="G14" s="17" t="str">
        <f t="shared" si="0"/>
        <v>STANDARD PRICE</v>
      </c>
      <c r="H14" s="17" t="str">
        <f t="shared" si="1"/>
        <v>38</v>
      </c>
      <c r="I14" s="17" t="str">
        <f t="shared" si="2"/>
        <v>JO</v>
      </c>
      <c r="J14" s="17" t="str">
        <f t="shared" si="3"/>
        <v>JAN</v>
      </c>
      <c r="K14" s="17" t="b">
        <f t="shared" si="4"/>
        <v>0</v>
      </c>
      <c r="L14" s="17" t="str">
        <f t="shared" si="10"/>
        <v>1JAN24</v>
      </c>
      <c r="M14" s="17" t="str">
        <f t="shared" si="5"/>
        <v>38</v>
      </c>
      <c r="N14" s="17" t="str">
        <f t="shared" si="6"/>
        <v>Baby Comb (Johnson)</v>
      </c>
      <c r="O14" s="17" t="str">
        <f t="shared" si="7"/>
        <v>1</v>
      </c>
      <c r="P14" s="36" t="str">
        <f t="shared" si="11"/>
        <v>24</v>
      </c>
      <c r="Q14" s="36">
        <f t="shared" si="8"/>
        <v>1</v>
      </c>
      <c r="R14" s="37">
        <f t="shared" si="9"/>
        <v>8767</v>
      </c>
    </row>
    <row r="15" spans="1:18" ht="30" customHeight="1" x14ac:dyDescent="0.25">
      <c r="A15" s="17" t="s">
        <v>99</v>
      </c>
      <c r="B15" s="17" t="s">
        <v>36</v>
      </c>
      <c r="C15" s="17" t="s">
        <v>37</v>
      </c>
      <c r="D15" s="17">
        <v>20</v>
      </c>
      <c r="E15" s="17" t="s">
        <v>12</v>
      </c>
      <c r="F15" s="33">
        <v>130</v>
      </c>
      <c r="G15" s="17" t="str">
        <f t="shared" si="0"/>
        <v>STANDARD PRICE</v>
      </c>
      <c r="H15" s="17" t="str">
        <f t="shared" si="1"/>
        <v>35</v>
      </c>
      <c r="I15" s="17" t="str">
        <f t="shared" si="2"/>
        <v>KE</v>
      </c>
      <c r="J15" s="17" t="str">
        <f t="shared" si="3"/>
        <v>FEB</v>
      </c>
      <c r="K15" s="17" t="b">
        <f t="shared" si="4"/>
        <v>0</v>
      </c>
      <c r="L15" s="17" t="str">
        <f t="shared" si="10"/>
        <v>2FEB22</v>
      </c>
      <c r="M15" s="17" t="str">
        <f t="shared" si="5"/>
        <v>35</v>
      </c>
      <c r="N15" s="17" t="str">
        <f t="shared" si="6"/>
        <v>Mouse (Videocon)</v>
      </c>
      <c r="O15" s="17" t="str">
        <f t="shared" si="7"/>
        <v>2</v>
      </c>
      <c r="P15" s="36" t="str">
        <f t="shared" si="11"/>
        <v>22</v>
      </c>
      <c r="Q15" s="36">
        <f t="shared" si="8"/>
        <v>2</v>
      </c>
      <c r="R15" s="37">
        <f t="shared" si="9"/>
        <v>8069</v>
      </c>
    </row>
    <row r="16" spans="1:18" ht="30" customHeight="1" x14ac:dyDescent="0.25">
      <c r="A16" s="17" t="s">
        <v>100</v>
      </c>
      <c r="B16" s="17" t="s">
        <v>71</v>
      </c>
      <c r="C16" s="17" t="s">
        <v>39</v>
      </c>
      <c r="D16" s="17">
        <v>50</v>
      </c>
      <c r="E16" s="17" t="s">
        <v>15</v>
      </c>
      <c r="F16" s="33">
        <v>1500</v>
      </c>
      <c r="G16" s="17" t="str">
        <f t="shared" si="0"/>
        <v>HIGH PRICE</v>
      </c>
      <c r="H16" s="17" t="str">
        <f t="shared" si="1"/>
        <v>33</v>
      </c>
      <c r="I16" s="17" t="str">
        <f t="shared" si="2"/>
        <v>FR</v>
      </c>
      <c r="J16" s="17" t="str">
        <f t="shared" si="3"/>
        <v>MAR</v>
      </c>
      <c r="K16" s="17" t="b">
        <f t="shared" si="4"/>
        <v>0</v>
      </c>
      <c r="L16" s="17" t="str">
        <f t="shared" si="10"/>
        <v>3MAR21</v>
      </c>
      <c r="M16" s="17" t="str">
        <f t="shared" si="5"/>
        <v>33</v>
      </c>
      <c r="N16" s="17" t="str">
        <f t="shared" si="6"/>
        <v>Student Chair (Kartell)</v>
      </c>
      <c r="O16" s="17" t="str">
        <f t="shared" si="7"/>
        <v>3</v>
      </c>
      <c r="P16" s="36" t="str">
        <f t="shared" si="11"/>
        <v>21</v>
      </c>
      <c r="Q16" s="36">
        <f t="shared" si="8"/>
        <v>3</v>
      </c>
      <c r="R16" s="37">
        <f t="shared" si="9"/>
        <v>7733</v>
      </c>
    </row>
    <row r="17" spans="1:18" ht="30" customHeight="1" x14ac:dyDescent="0.25">
      <c r="A17" s="17" t="s">
        <v>101</v>
      </c>
      <c r="B17" s="17" t="s">
        <v>40</v>
      </c>
      <c r="C17" s="17" t="s">
        <v>41</v>
      </c>
      <c r="D17" s="17">
        <v>1</v>
      </c>
      <c r="E17" s="17" t="s">
        <v>79</v>
      </c>
      <c r="F17" s="33">
        <v>800</v>
      </c>
      <c r="G17" s="17" t="str">
        <f t="shared" si="0"/>
        <v>HIGH PRICE</v>
      </c>
      <c r="H17" s="17" t="str">
        <f t="shared" si="1"/>
        <v>78</v>
      </c>
      <c r="I17" s="17" t="str">
        <f t="shared" si="2"/>
        <v>IE</v>
      </c>
      <c r="J17" s="17" t="str">
        <f t="shared" si="3"/>
        <v>APR</v>
      </c>
      <c r="K17" s="17" t="b">
        <f t="shared" si="4"/>
        <v>0</v>
      </c>
      <c r="L17" s="17" t="str">
        <f t="shared" si="10"/>
        <v>4APR20</v>
      </c>
      <c r="M17" s="17" t="str">
        <f t="shared" si="5"/>
        <v>78</v>
      </c>
      <c r="N17" s="17" t="str">
        <f t="shared" si="6"/>
        <v>Baby Walker (dove)</v>
      </c>
      <c r="O17" s="17" t="str">
        <f t="shared" si="7"/>
        <v>4</v>
      </c>
      <c r="P17" s="36" t="str">
        <f t="shared" si="11"/>
        <v>20</v>
      </c>
      <c r="Q17" s="36">
        <f t="shared" si="8"/>
        <v>4</v>
      </c>
      <c r="R17" s="37">
        <f t="shared" si="9"/>
        <v>7400</v>
      </c>
    </row>
    <row r="18" spans="1:18" ht="30" customHeight="1" x14ac:dyDescent="0.25">
      <c r="A18" s="17" t="s">
        <v>102</v>
      </c>
      <c r="B18" s="17" t="s">
        <v>42</v>
      </c>
      <c r="C18" s="17" t="s">
        <v>43</v>
      </c>
      <c r="D18" s="17">
        <v>23</v>
      </c>
      <c r="E18" s="17" t="s">
        <v>12</v>
      </c>
      <c r="F18" s="33">
        <v>600</v>
      </c>
      <c r="G18" s="17" t="str">
        <f t="shared" si="0"/>
        <v>HIGH PRICE</v>
      </c>
      <c r="H18" s="17" t="str">
        <f t="shared" si="1"/>
        <v>46</v>
      </c>
      <c r="I18" s="17" t="str">
        <f t="shared" si="2"/>
        <v>IN</v>
      </c>
      <c r="J18" s="17" t="str">
        <f t="shared" si="3"/>
        <v>MAY</v>
      </c>
      <c r="K18" s="17" t="b">
        <f t="shared" si="4"/>
        <v>0</v>
      </c>
      <c r="L18" s="17" t="str">
        <f t="shared" si="10"/>
        <v>5MAY22</v>
      </c>
      <c r="M18" s="17" t="str">
        <f t="shared" si="5"/>
        <v>46</v>
      </c>
      <c r="N18" s="17" t="str">
        <f t="shared" si="6"/>
        <v>Headphones (Boat)</v>
      </c>
      <c r="O18" s="17" t="str">
        <f t="shared" si="7"/>
        <v>5</v>
      </c>
      <c r="P18" s="36" t="str">
        <f t="shared" si="11"/>
        <v>22</v>
      </c>
      <c r="Q18" s="36">
        <f t="shared" si="8"/>
        <v>5</v>
      </c>
      <c r="R18" s="37">
        <f t="shared" si="9"/>
        <v>8161</v>
      </c>
    </row>
    <row r="19" spans="1:18" ht="30" customHeight="1" x14ac:dyDescent="0.25">
      <c r="A19" s="17" t="s">
        <v>103</v>
      </c>
      <c r="B19" s="17" t="s">
        <v>72</v>
      </c>
      <c r="C19" s="17" t="s">
        <v>45</v>
      </c>
      <c r="D19" s="17">
        <v>23</v>
      </c>
      <c r="E19" s="17" t="s">
        <v>15</v>
      </c>
      <c r="F19" s="33">
        <v>2250</v>
      </c>
      <c r="G19" s="17" t="str">
        <f t="shared" si="0"/>
        <v>HIGH PRICE</v>
      </c>
      <c r="H19" s="17" t="str">
        <f t="shared" si="1"/>
        <v>23</v>
      </c>
      <c r="I19" s="17" t="str">
        <f t="shared" si="2"/>
        <v>HT</v>
      </c>
      <c r="J19" s="17" t="str">
        <f t="shared" si="3"/>
        <v>JUN</v>
      </c>
      <c r="K19" s="17" t="b">
        <f t="shared" si="4"/>
        <v>0</v>
      </c>
      <c r="L19" s="17" t="str">
        <f t="shared" si="10"/>
        <v>6JUN22</v>
      </c>
      <c r="M19" s="17" t="str">
        <f t="shared" si="5"/>
        <v>23</v>
      </c>
      <c r="N19" s="17" t="str">
        <f t="shared" si="6"/>
        <v>Standing Desk (Flexispot)</v>
      </c>
      <c r="O19" s="17" t="str">
        <f t="shared" si="7"/>
        <v>6</v>
      </c>
      <c r="P19" s="36" t="str">
        <f t="shared" si="11"/>
        <v>22</v>
      </c>
      <c r="Q19" s="36">
        <f t="shared" si="8"/>
        <v>6</v>
      </c>
      <c r="R19" s="37">
        <f t="shared" si="9"/>
        <v>8193</v>
      </c>
    </row>
    <row r="20" spans="1:18" ht="30" customHeight="1" x14ac:dyDescent="0.25">
      <c r="A20" s="17" t="s">
        <v>104</v>
      </c>
      <c r="B20" s="17" t="s">
        <v>46</v>
      </c>
      <c r="C20" s="17" t="s">
        <v>47</v>
      </c>
      <c r="D20" s="17">
        <v>3</v>
      </c>
      <c r="E20" s="17" t="s">
        <v>79</v>
      </c>
      <c r="F20" s="33">
        <v>180</v>
      </c>
      <c r="G20" s="17" t="str">
        <f t="shared" si="0"/>
        <v>STANDARD PRICE</v>
      </c>
      <c r="H20" s="17" t="str">
        <f t="shared" si="1"/>
        <v>23</v>
      </c>
      <c r="I20" s="17" t="str">
        <f t="shared" si="2"/>
        <v>CI</v>
      </c>
      <c r="J20" s="17" t="str">
        <f t="shared" si="3"/>
        <v>JUL</v>
      </c>
      <c r="K20" s="17" t="b">
        <f t="shared" si="4"/>
        <v>0</v>
      </c>
      <c r="L20" s="17" t="str">
        <f t="shared" si="10"/>
        <v>7JUL22</v>
      </c>
      <c r="M20" s="17" t="str">
        <f t="shared" si="5"/>
        <v>23</v>
      </c>
      <c r="N20" s="17" t="str">
        <f t="shared" si="6"/>
        <v>Baby Oil (Himalaya)</v>
      </c>
      <c r="O20" s="17" t="str">
        <f t="shared" si="7"/>
        <v>7</v>
      </c>
      <c r="P20" s="36" t="str">
        <f t="shared" si="11"/>
        <v>22</v>
      </c>
      <c r="Q20" s="36">
        <f t="shared" si="8"/>
        <v>7</v>
      </c>
      <c r="R20" s="37">
        <f t="shared" si="9"/>
        <v>8224</v>
      </c>
    </row>
    <row r="21" spans="1:18" ht="30" customHeight="1" x14ac:dyDescent="0.25">
      <c r="A21" s="17" t="s">
        <v>105</v>
      </c>
      <c r="B21" s="17" t="s">
        <v>48</v>
      </c>
      <c r="C21" s="17" t="s">
        <v>49</v>
      </c>
      <c r="D21" s="17">
        <v>10</v>
      </c>
      <c r="E21" s="17" t="s">
        <v>12</v>
      </c>
      <c r="F21" s="33">
        <v>3000</v>
      </c>
      <c r="G21" s="17" t="str">
        <f t="shared" si="0"/>
        <v>HIGH PRICE</v>
      </c>
      <c r="H21" s="17" t="str">
        <f t="shared" si="1"/>
        <v>92</v>
      </c>
      <c r="I21" s="17" t="str">
        <f t="shared" si="2"/>
        <v>ID</v>
      </c>
      <c r="J21" s="17" t="str">
        <f t="shared" si="3"/>
        <v>AUG</v>
      </c>
      <c r="K21" s="17" t="b">
        <f t="shared" si="4"/>
        <v>0</v>
      </c>
      <c r="L21" s="17" t="str">
        <f t="shared" si="10"/>
        <v>8AUG24</v>
      </c>
      <c r="M21" s="17" t="str">
        <f t="shared" si="5"/>
        <v>92</v>
      </c>
      <c r="N21" s="17" t="str">
        <f t="shared" si="6"/>
        <v>Projector (Canon)</v>
      </c>
      <c r="O21" s="17" t="str">
        <f t="shared" si="7"/>
        <v>8</v>
      </c>
      <c r="P21" s="36" t="str">
        <f t="shared" si="11"/>
        <v>24</v>
      </c>
      <c r="Q21" s="36">
        <f t="shared" si="8"/>
        <v>8</v>
      </c>
      <c r="R21" s="37">
        <f t="shared" si="9"/>
        <v>8987</v>
      </c>
    </row>
    <row r="22" spans="1:18" ht="30" customHeight="1" x14ac:dyDescent="0.25">
      <c r="A22" s="17" t="s">
        <v>106</v>
      </c>
      <c r="B22" s="17" t="s">
        <v>73</v>
      </c>
      <c r="C22" s="17" t="s">
        <v>45</v>
      </c>
      <c r="D22" s="17">
        <v>13</v>
      </c>
      <c r="E22" s="17" t="s">
        <v>15</v>
      </c>
      <c r="F22" s="33">
        <v>2500</v>
      </c>
      <c r="G22" s="17" t="str">
        <f t="shared" si="0"/>
        <v>HIGH PRICE</v>
      </c>
      <c r="H22" s="17" t="str">
        <f t="shared" si="1"/>
        <v>34</v>
      </c>
      <c r="I22" s="17" t="str">
        <f t="shared" si="2"/>
        <v>IL</v>
      </c>
      <c r="J22" s="17" t="str">
        <f t="shared" si="3"/>
        <v>SEP</v>
      </c>
      <c r="K22" s="17" t="b">
        <f t="shared" si="4"/>
        <v>0</v>
      </c>
      <c r="L22" s="17" t="str">
        <f t="shared" si="10"/>
        <v>9SEP24</v>
      </c>
      <c r="M22" s="17" t="str">
        <f t="shared" si="5"/>
        <v>34</v>
      </c>
      <c r="N22" s="17" t="str">
        <f t="shared" si="6"/>
        <v>Visitor Chair (Flexispot)</v>
      </c>
      <c r="O22" s="17" t="str">
        <f t="shared" si="7"/>
        <v>9</v>
      </c>
      <c r="P22" s="36" t="str">
        <f t="shared" si="11"/>
        <v>24</v>
      </c>
      <c r="Q22" s="36">
        <f t="shared" si="8"/>
        <v>9</v>
      </c>
      <c r="R22" s="37">
        <f t="shared" si="9"/>
        <v>9019</v>
      </c>
    </row>
    <row r="23" spans="1:18" ht="30" customHeight="1" x14ac:dyDescent="0.25">
      <c r="A23" s="17" t="s">
        <v>107</v>
      </c>
      <c r="B23" s="17" t="s">
        <v>51</v>
      </c>
      <c r="C23" s="17" t="s">
        <v>52</v>
      </c>
      <c r="D23" s="17">
        <v>20</v>
      </c>
      <c r="E23" s="17" t="s">
        <v>20</v>
      </c>
      <c r="F23" s="33">
        <v>320</v>
      </c>
      <c r="G23" s="17" t="str">
        <f t="shared" si="0"/>
        <v>STANDARD PRICE</v>
      </c>
      <c r="H23" s="17" t="str">
        <f t="shared" si="1"/>
        <v>53</v>
      </c>
      <c r="I23" s="17" t="str">
        <f t="shared" si="2"/>
        <v>EU</v>
      </c>
      <c r="J23" s="17" t="str">
        <f t="shared" si="3"/>
        <v>OCT</v>
      </c>
      <c r="K23" s="17" t="b">
        <f t="shared" si="4"/>
        <v>0</v>
      </c>
      <c r="L23" s="17" t="str">
        <f t="shared" si="10"/>
        <v>4OCT26</v>
      </c>
      <c r="M23" s="17" t="str">
        <f t="shared" si="5"/>
        <v>53</v>
      </c>
      <c r="N23" s="17" t="str">
        <f t="shared" si="6"/>
        <v>Cheese (Arla)</v>
      </c>
      <c r="O23" s="17" t="str">
        <f t="shared" si="7"/>
        <v>4</v>
      </c>
      <c r="P23" s="36" t="str">
        <f t="shared" si="11"/>
        <v>26</v>
      </c>
      <c r="Q23" s="36">
        <f t="shared" si="8"/>
        <v>10</v>
      </c>
      <c r="R23" s="37">
        <f t="shared" si="9"/>
        <v>9774</v>
      </c>
    </row>
    <row r="24" spans="1:18" ht="30" customHeight="1" x14ac:dyDescent="0.25">
      <c r="A24" s="17" t="s">
        <v>108</v>
      </c>
      <c r="B24" s="17" t="s">
        <v>53</v>
      </c>
      <c r="C24" s="17" t="s">
        <v>49</v>
      </c>
      <c r="D24" s="17">
        <v>5</v>
      </c>
      <c r="E24" s="17" t="s">
        <v>12</v>
      </c>
      <c r="F24" s="33">
        <v>7000</v>
      </c>
      <c r="G24" s="17" t="str">
        <f t="shared" si="0"/>
        <v>HIGH PRICE</v>
      </c>
      <c r="H24" s="17" t="str">
        <f t="shared" si="1"/>
        <v>21</v>
      </c>
      <c r="I24" s="17" t="str">
        <f t="shared" si="2"/>
        <v>CI</v>
      </c>
      <c r="J24" s="17" t="str">
        <f t="shared" si="3"/>
        <v>NOV</v>
      </c>
      <c r="K24" s="17" t="b">
        <f t="shared" si="4"/>
        <v>0</v>
      </c>
      <c r="L24" s="17" t="str">
        <f t="shared" si="10"/>
        <v>1NOV25</v>
      </c>
      <c r="M24" s="17" t="str">
        <f t="shared" si="5"/>
        <v>21</v>
      </c>
      <c r="N24" s="17" t="str">
        <f t="shared" si="6"/>
        <v>Printer (Canon)</v>
      </c>
      <c r="O24" s="17" t="str">
        <f t="shared" si="7"/>
        <v>1</v>
      </c>
      <c r="P24" s="36" t="str">
        <f t="shared" si="11"/>
        <v>25</v>
      </c>
      <c r="Q24" s="36">
        <f t="shared" si="8"/>
        <v>11</v>
      </c>
      <c r="R24" s="37">
        <f t="shared" si="9"/>
        <v>9437</v>
      </c>
    </row>
    <row r="25" spans="1:18" ht="30" customHeight="1" x14ac:dyDescent="0.25">
      <c r="A25" s="17" t="s">
        <v>109</v>
      </c>
      <c r="B25" s="17" t="s">
        <v>74</v>
      </c>
      <c r="C25" s="17" t="s">
        <v>55</v>
      </c>
      <c r="D25" s="17">
        <v>3</v>
      </c>
      <c r="E25" s="17" t="s">
        <v>79</v>
      </c>
      <c r="F25" s="33">
        <v>30</v>
      </c>
      <c r="G25" s="17" t="str">
        <f t="shared" si="0"/>
        <v>STANDARD PRICE</v>
      </c>
      <c r="H25" s="17" t="str">
        <f t="shared" si="1"/>
        <v>80</v>
      </c>
      <c r="I25" s="17" t="str">
        <f t="shared" si="2"/>
        <v>IR</v>
      </c>
      <c r="J25" s="17" t="str">
        <f t="shared" si="3"/>
        <v>DEC</v>
      </c>
      <c r="K25" s="17" t="b">
        <f t="shared" si="4"/>
        <v>0</v>
      </c>
      <c r="L25" s="17" t="str">
        <f t="shared" si="10"/>
        <v>2DEC25</v>
      </c>
      <c r="M25" s="17" t="str">
        <f t="shared" si="5"/>
        <v>80</v>
      </c>
      <c r="N25" s="17" t="str">
        <f t="shared" si="6"/>
        <v>Baby Spoons (mee mee)</v>
      </c>
      <c r="O25" s="17" t="str">
        <f t="shared" si="7"/>
        <v>2</v>
      </c>
      <c r="P25" s="36" t="str">
        <f t="shared" si="11"/>
        <v>25</v>
      </c>
      <c r="Q25" s="36">
        <f t="shared" si="8"/>
        <v>12</v>
      </c>
      <c r="R25" s="37">
        <f t="shared" si="9"/>
        <v>9468</v>
      </c>
    </row>
    <row r="26" spans="1:18" ht="30" customHeight="1" x14ac:dyDescent="0.25">
      <c r="A26" s="17" t="s">
        <v>110</v>
      </c>
      <c r="B26" s="17" t="s">
        <v>75</v>
      </c>
      <c r="C26" s="17" t="s">
        <v>52</v>
      </c>
      <c r="D26" s="17">
        <v>3</v>
      </c>
      <c r="E26" s="17" t="s">
        <v>20</v>
      </c>
      <c r="F26" s="33">
        <v>60</v>
      </c>
      <c r="G26" s="17" t="str">
        <f t="shared" si="0"/>
        <v>STANDARD PRICE</v>
      </c>
      <c r="H26" s="17" t="str">
        <f t="shared" si="1"/>
        <v>38</v>
      </c>
      <c r="I26" s="17" t="str">
        <f t="shared" si="2"/>
        <v>ID</v>
      </c>
      <c r="J26" s="17" t="str">
        <f t="shared" si="3"/>
        <v>JAN</v>
      </c>
      <c r="K26" s="17" t="b">
        <f t="shared" si="4"/>
        <v>0</v>
      </c>
      <c r="L26" s="17" t="str">
        <f t="shared" si="10"/>
        <v>1JAN24</v>
      </c>
      <c r="M26" s="17" t="str">
        <f t="shared" si="5"/>
        <v>38</v>
      </c>
      <c r="N26" s="17" t="str">
        <f t="shared" si="6"/>
        <v>Milk Powder (Arla)</v>
      </c>
      <c r="O26" s="17" t="str">
        <f t="shared" si="7"/>
        <v>1</v>
      </c>
      <c r="P26" s="36" t="str">
        <f t="shared" si="11"/>
        <v>24</v>
      </c>
      <c r="Q26" s="36">
        <f t="shared" si="8"/>
        <v>1</v>
      </c>
      <c r="R26" s="37">
        <f t="shared" si="9"/>
        <v>8767</v>
      </c>
    </row>
    <row r="27" spans="1:18" ht="30" customHeight="1" x14ac:dyDescent="0.25">
      <c r="A27" s="17" t="s">
        <v>111</v>
      </c>
      <c r="B27" s="17" t="s">
        <v>31</v>
      </c>
      <c r="C27" s="17" t="s">
        <v>55</v>
      </c>
      <c r="D27" s="17">
        <v>7</v>
      </c>
      <c r="E27" s="17" t="s">
        <v>79</v>
      </c>
      <c r="F27" s="33">
        <v>300</v>
      </c>
      <c r="G27" s="17" t="str">
        <f t="shared" si="0"/>
        <v>STANDARD PRICE</v>
      </c>
      <c r="H27" s="17" t="str">
        <f t="shared" si="1"/>
        <v>35</v>
      </c>
      <c r="I27" s="17" t="str">
        <f t="shared" si="2"/>
        <v>IM</v>
      </c>
      <c r="J27" s="17" t="str">
        <f t="shared" si="3"/>
        <v>FEB</v>
      </c>
      <c r="K27" s="17" t="b">
        <f t="shared" si="4"/>
        <v>0</v>
      </c>
      <c r="L27" s="17" t="str">
        <f t="shared" si="10"/>
        <v>2FEB25</v>
      </c>
      <c r="M27" s="17" t="str">
        <f t="shared" si="5"/>
        <v>35</v>
      </c>
      <c r="N27" s="17" t="str">
        <f t="shared" si="6"/>
        <v>Baby Towel (mee mee)</v>
      </c>
      <c r="O27" s="17" t="str">
        <f t="shared" si="7"/>
        <v>2</v>
      </c>
      <c r="P27" s="36" t="str">
        <f t="shared" si="11"/>
        <v>25</v>
      </c>
      <c r="Q27" s="36">
        <f t="shared" si="8"/>
        <v>2</v>
      </c>
      <c r="R27" s="37">
        <f t="shared" si="9"/>
        <v>9165</v>
      </c>
    </row>
    <row r="28" spans="1:18" ht="30" customHeight="1" x14ac:dyDescent="0.25">
      <c r="A28" s="17" t="s">
        <v>112</v>
      </c>
      <c r="B28" s="17" t="s">
        <v>76</v>
      </c>
      <c r="C28" s="17" t="s">
        <v>11</v>
      </c>
      <c r="D28" s="17">
        <v>45</v>
      </c>
      <c r="E28" s="17" t="s">
        <v>12</v>
      </c>
      <c r="F28" s="33">
        <v>500</v>
      </c>
      <c r="G28" s="17" t="str">
        <f t="shared" si="0"/>
        <v>HIGH PRICE</v>
      </c>
      <c r="H28" s="17" t="str">
        <f t="shared" si="1"/>
        <v>38</v>
      </c>
      <c r="I28" s="17" t="str">
        <f t="shared" si="2"/>
        <v>JO</v>
      </c>
      <c r="J28" s="17" t="str">
        <f t="shared" si="3"/>
        <v>JAN</v>
      </c>
      <c r="K28" s="17" t="b">
        <f t="shared" si="4"/>
        <v>0</v>
      </c>
      <c r="L28" s="17" t="str">
        <f t="shared" si="10"/>
        <v>1JAN26</v>
      </c>
      <c r="M28" s="17" t="str">
        <f t="shared" si="5"/>
        <v>38</v>
      </c>
      <c r="N28" s="17" t="str">
        <f t="shared" si="6"/>
        <v>Smart Watch (Microsoft)</v>
      </c>
      <c r="O28" s="17" t="str">
        <f t="shared" si="7"/>
        <v>1</v>
      </c>
      <c r="P28" s="36" t="str">
        <f t="shared" si="11"/>
        <v>26</v>
      </c>
      <c r="Q28" s="36">
        <f t="shared" si="8"/>
        <v>1</v>
      </c>
      <c r="R28" s="37">
        <f t="shared" si="9"/>
        <v>9498</v>
      </c>
    </row>
    <row r="29" spans="1:18" ht="30" customHeight="1" x14ac:dyDescent="0.25">
      <c r="A29" s="17" t="s">
        <v>113</v>
      </c>
      <c r="B29" s="17" t="s">
        <v>58</v>
      </c>
      <c r="C29" s="17" t="s">
        <v>59</v>
      </c>
      <c r="D29" s="17">
        <v>5</v>
      </c>
      <c r="E29" s="17" t="s">
        <v>12</v>
      </c>
      <c r="F29" s="33">
        <v>8000</v>
      </c>
      <c r="G29" s="17" t="str">
        <f t="shared" si="0"/>
        <v>HIGH PRICE</v>
      </c>
      <c r="H29" s="17" t="str">
        <f t="shared" si="1"/>
        <v>35</v>
      </c>
      <c r="I29" s="17" t="str">
        <f t="shared" si="2"/>
        <v>ID</v>
      </c>
      <c r="J29" s="17" t="str">
        <f t="shared" si="3"/>
        <v>FEB</v>
      </c>
      <c r="K29" s="17" t="b">
        <f t="shared" si="4"/>
        <v>0</v>
      </c>
      <c r="L29" s="17" t="str">
        <f t="shared" si="10"/>
        <v>2FEB24</v>
      </c>
      <c r="M29" s="17" t="str">
        <f t="shared" si="5"/>
        <v>35</v>
      </c>
      <c r="N29" s="17" t="str">
        <f t="shared" si="6"/>
        <v>Color Laser Printer (HP)</v>
      </c>
      <c r="O29" s="17" t="str">
        <f t="shared" si="7"/>
        <v>2</v>
      </c>
      <c r="P29" s="36" t="str">
        <f t="shared" si="11"/>
        <v>24</v>
      </c>
      <c r="Q29" s="36">
        <f t="shared" si="8"/>
        <v>2</v>
      </c>
      <c r="R29" s="37">
        <f t="shared" si="9"/>
        <v>8799</v>
      </c>
    </row>
    <row r="30" spans="1:18" ht="30" customHeight="1" x14ac:dyDescent="0.25">
      <c r="A30" s="17" t="s">
        <v>114</v>
      </c>
      <c r="B30" s="17" t="s">
        <v>77</v>
      </c>
      <c r="C30" s="17" t="s">
        <v>61</v>
      </c>
      <c r="D30" s="17">
        <v>2</v>
      </c>
      <c r="E30" s="17" t="s">
        <v>79</v>
      </c>
      <c r="F30" s="33">
        <v>900</v>
      </c>
      <c r="G30" s="17" t="str">
        <f t="shared" si="0"/>
        <v>HIGH PRICE</v>
      </c>
      <c r="H30" s="17" t="str">
        <f t="shared" si="1"/>
        <v>33</v>
      </c>
      <c r="I30" s="17" t="str">
        <f t="shared" si="2"/>
        <v>JO</v>
      </c>
      <c r="J30" s="17" t="str">
        <f t="shared" si="3"/>
        <v>MAR</v>
      </c>
      <c r="K30" s="17" t="b">
        <f t="shared" si="4"/>
        <v>0</v>
      </c>
      <c r="L30" s="17" t="str">
        <f t="shared" si="10"/>
        <v>3MAR25</v>
      </c>
      <c r="M30" s="17" t="str">
        <f t="shared" si="5"/>
        <v>33</v>
      </c>
      <c r="N30" s="17" t="str">
        <f t="shared" si="6"/>
        <v>Baby Swing (mamaearth)</v>
      </c>
      <c r="O30" s="17" t="str">
        <f t="shared" si="7"/>
        <v>3</v>
      </c>
      <c r="P30" s="36" t="str">
        <f t="shared" si="11"/>
        <v>25</v>
      </c>
      <c r="Q30" s="36">
        <f t="shared" si="8"/>
        <v>3</v>
      </c>
      <c r="R30" s="37">
        <f t="shared" si="9"/>
        <v>9194</v>
      </c>
    </row>
    <row r="31" spans="1:18" ht="30" customHeight="1" x14ac:dyDescent="0.25">
      <c r="A31" s="17" t="s">
        <v>115</v>
      </c>
      <c r="B31" s="17" t="s">
        <v>78</v>
      </c>
      <c r="C31" s="17" t="s">
        <v>63</v>
      </c>
      <c r="D31" s="17">
        <v>20</v>
      </c>
      <c r="E31" s="17" t="s">
        <v>80</v>
      </c>
      <c r="F31" s="33">
        <v>450</v>
      </c>
      <c r="G31" s="17" t="str">
        <f t="shared" si="0"/>
        <v>STANDARD PRICE</v>
      </c>
      <c r="H31" s="17" t="str">
        <f t="shared" si="1"/>
        <v>30</v>
      </c>
      <c r="I31" s="17" t="str">
        <f t="shared" si="2"/>
        <v>CI</v>
      </c>
      <c r="J31" s="17" t="str">
        <f t="shared" si="3"/>
        <v>APR</v>
      </c>
      <c r="K31" s="17" t="b">
        <f t="shared" si="4"/>
        <v>0</v>
      </c>
      <c r="L31" s="17" t="str">
        <f t="shared" si="10"/>
        <v>4APR26</v>
      </c>
      <c r="M31" s="17" t="str">
        <f t="shared" si="5"/>
        <v>30</v>
      </c>
      <c r="N31" s="17" t="str">
        <f t="shared" si="6"/>
        <v>Pendrive (sandisk)</v>
      </c>
      <c r="O31" s="22" t="str">
        <f t="shared" si="7"/>
        <v>4</v>
      </c>
      <c r="P31" s="38" t="str">
        <f t="shared" si="11"/>
        <v>26</v>
      </c>
      <c r="Q31" s="36">
        <f t="shared" si="8"/>
        <v>4</v>
      </c>
      <c r="R31" s="37">
        <f t="shared" si="9"/>
        <v>9591</v>
      </c>
    </row>
    <row r="32" spans="1:18" ht="15.75" x14ac:dyDescent="0.25">
      <c r="C32"/>
    </row>
    <row r="36" spans="11:12" ht="15.75" x14ac:dyDescent="0.25">
      <c r="K36" s="27"/>
    </row>
    <row r="37" spans="11:12" ht="15.75" x14ac:dyDescent="0.25">
      <c r="L37" s="27"/>
    </row>
    <row r="38" spans="11:12" ht="15.75" x14ac:dyDescent="0.25">
      <c r="L38" s="27"/>
    </row>
  </sheetData>
  <conditionalFormatting sqref="F32:F1048576 F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{028F4A2F-BA31-42DB-8C91-A694D2CCD1F7}</x14:id>
        </ext>
      </extLst>
    </cfRule>
  </conditionalFormatting>
  <conditionalFormatting sqref="E1 E32:E1048576">
    <cfRule type="cellIs" dxfId="44" priority="5" operator="equal">
      <formula>"Electronics"</formula>
    </cfRule>
  </conditionalFormatting>
  <conditionalFormatting sqref="F2:F3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{7AEB9EEA-0C89-4D7C-AF7C-ED37F75FB095}</x14:id>
        </ext>
      </extLst>
    </cfRule>
  </conditionalFormatting>
  <conditionalFormatting sqref="E2:E31">
    <cfRule type="cellIs" dxfId="32" priority="1" operator="equal">
      <formula>"Electronics"</formula>
    </cfRule>
    <cfRule type="cellIs" dxfId="33" priority="2" operator="equal">
      <formula>"Electronics"</formula>
    </cfRule>
    <cfRule type="cellIs" dxfId="34" priority="3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8F4A2F-BA31-42DB-8C91-A694D2CCD1F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F32:F1048576 F1</xm:sqref>
        </x14:conditionalFormatting>
        <x14:conditionalFormatting xmlns:xm="http://schemas.microsoft.com/office/excel/2006/main">
          <x14:cfRule type="dataBar" id="{7AEB9EEA-0C89-4D7C-AF7C-ED37F75FB0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09A4-1B6C-49E1-B507-66C037C0213D}">
  <dimension ref="A1:K35"/>
  <sheetViews>
    <sheetView topLeftCell="A6" workbookViewId="0">
      <selection activeCell="E7" sqref="E7"/>
    </sheetView>
  </sheetViews>
  <sheetFormatPr defaultRowHeight="15.75" x14ac:dyDescent="0.25"/>
  <cols>
    <col min="1" max="1" width="24.140625" style="5" bestFit="1" customWidth="1"/>
    <col min="2" max="2" width="29.5703125" style="5" bestFit="1" customWidth="1"/>
    <col min="3" max="3" width="25.5703125" style="5" bestFit="1" customWidth="1"/>
    <col min="4" max="4" width="20.42578125" style="5" bestFit="1" customWidth="1"/>
    <col min="5" max="5" width="26.42578125" style="5" bestFit="1" customWidth="1"/>
    <col min="6" max="6" width="14.42578125" style="5" bestFit="1" customWidth="1"/>
    <col min="7" max="7" width="25.28515625" style="5" bestFit="1" customWidth="1"/>
    <col min="8" max="8" width="11.5703125" style="5" bestFit="1" customWidth="1"/>
    <col min="9" max="9" width="28.7109375" style="5" bestFit="1" customWidth="1"/>
    <col min="10" max="10" width="16.42578125" style="5" bestFit="1" customWidth="1"/>
    <col min="11" max="11" width="25.5703125" style="5" bestFit="1" customWidth="1"/>
    <col min="12" max="16384" width="9.140625" style="5"/>
  </cols>
  <sheetData>
    <row r="1" spans="1:11" s="4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65</v>
      </c>
    </row>
    <row r="2" spans="1:11" ht="18.75" x14ac:dyDescent="0.3">
      <c r="A2" s="11" t="s">
        <v>87</v>
      </c>
      <c r="B2" s="17" t="s">
        <v>10</v>
      </c>
      <c r="C2" s="17" t="s">
        <v>11</v>
      </c>
      <c r="D2" s="17">
        <v>20</v>
      </c>
      <c r="E2" s="17" t="s">
        <v>12</v>
      </c>
      <c r="F2" s="17">
        <v>130</v>
      </c>
      <c r="G2" s="17" t="str">
        <f t="shared" ref="G2:G31" si="0">IF(F2&gt;=500,"HIGH PRICE","STANDARD PRICE")</f>
        <v>STANDARD PRICE</v>
      </c>
      <c r="H2" s="17" t="str">
        <f t="shared" ref="H2:H31" si="1">LEFT(A2,2)</f>
        <v>38</v>
      </c>
      <c r="I2" s="17" t="str">
        <f t="shared" ref="I2:I31" si="2">RIGHT(A2,2)</f>
        <v>IN</v>
      </c>
      <c r="J2" s="18" t="str">
        <f t="shared" ref="J2:J31" si="3">MID(A2,4,3)</f>
        <v>1JA</v>
      </c>
      <c r="K2" s="19" t="b">
        <f t="shared" ref="K2:K31" si="4">ISBLANK(F2)</f>
        <v>0</v>
      </c>
    </row>
    <row r="3" spans="1:11" ht="18.75" x14ac:dyDescent="0.3">
      <c r="A3" s="11" t="s">
        <v>86</v>
      </c>
      <c r="B3" s="17" t="s">
        <v>13</v>
      </c>
      <c r="C3" s="17" t="s">
        <v>14</v>
      </c>
      <c r="D3" s="17">
        <v>39</v>
      </c>
      <c r="E3" s="17" t="s">
        <v>15</v>
      </c>
      <c r="F3" s="17">
        <v>600</v>
      </c>
      <c r="G3" s="17" t="str">
        <f t="shared" si="0"/>
        <v>HIGH PRICE</v>
      </c>
      <c r="H3" s="17" t="str">
        <f t="shared" si="1"/>
        <v>35</v>
      </c>
      <c r="I3" s="17" t="str">
        <f t="shared" si="2"/>
        <v>US</v>
      </c>
      <c r="J3" s="18" t="str">
        <f t="shared" si="3"/>
        <v>2FE</v>
      </c>
      <c r="K3" s="21" t="b">
        <f t="shared" si="4"/>
        <v>0</v>
      </c>
    </row>
    <row r="4" spans="1:11" ht="18.75" x14ac:dyDescent="0.3">
      <c r="A4" s="11" t="s">
        <v>88</v>
      </c>
      <c r="B4" s="17" t="s">
        <v>16</v>
      </c>
      <c r="C4" s="17" t="s">
        <v>17</v>
      </c>
      <c r="D4" s="17">
        <v>25</v>
      </c>
      <c r="E4" s="17" t="s">
        <v>12</v>
      </c>
      <c r="F4" s="17">
        <v>2500</v>
      </c>
      <c r="G4" s="17" t="str">
        <f t="shared" si="0"/>
        <v>HIGH PRICE</v>
      </c>
      <c r="H4" s="17" t="str">
        <f t="shared" si="1"/>
        <v>33</v>
      </c>
      <c r="I4" s="17" t="str">
        <f t="shared" si="2"/>
        <v>FR</v>
      </c>
      <c r="J4" s="18" t="str">
        <f t="shared" si="3"/>
        <v>3MA</v>
      </c>
      <c r="K4" s="21" t="b">
        <f t="shared" si="4"/>
        <v>0</v>
      </c>
    </row>
    <row r="5" spans="1:11" ht="18.75" x14ac:dyDescent="0.3">
      <c r="A5" s="11" t="s">
        <v>89</v>
      </c>
      <c r="B5" s="17" t="s">
        <v>18</v>
      </c>
      <c r="C5" s="17" t="s">
        <v>19</v>
      </c>
      <c r="D5" s="17">
        <v>40</v>
      </c>
      <c r="E5" s="17" t="s">
        <v>20</v>
      </c>
      <c r="F5" s="17">
        <v>160</v>
      </c>
      <c r="G5" s="17" t="str">
        <f t="shared" si="0"/>
        <v>STANDARD PRICE</v>
      </c>
      <c r="H5" s="17" t="str">
        <f t="shared" si="1"/>
        <v>30</v>
      </c>
      <c r="I5" s="17" t="str">
        <f t="shared" si="2"/>
        <v>ER</v>
      </c>
      <c r="J5" s="18" t="str">
        <f t="shared" si="3"/>
        <v>4AP</v>
      </c>
      <c r="K5" s="21" t="b">
        <f t="shared" si="4"/>
        <v>0</v>
      </c>
    </row>
    <row r="6" spans="1:11" ht="18.75" x14ac:dyDescent="0.3">
      <c r="A6" s="11" t="s">
        <v>90</v>
      </c>
      <c r="B6" s="17" t="s">
        <v>21</v>
      </c>
      <c r="C6" s="17" t="s">
        <v>11</v>
      </c>
      <c r="D6" s="17">
        <v>50</v>
      </c>
      <c r="E6" s="17" t="s">
        <v>12</v>
      </c>
      <c r="F6" s="17">
        <v>45000</v>
      </c>
      <c r="G6" s="17" t="str">
        <f t="shared" si="0"/>
        <v>HIGH PRICE</v>
      </c>
      <c r="H6" s="17" t="str">
        <f t="shared" si="1"/>
        <v>46</v>
      </c>
      <c r="I6" s="17" t="str">
        <f t="shared" si="2"/>
        <v>IS</v>
      </c>
      <c r="J6" s="18" t="str">
        <f t="shared" si="3"/>
        <v>5MA</v>
      </c>
      <c r="K6" s="21" t="b">
        <f t="shared" si="4"/>
        <v>0</v>
      </c>
    </row>
    <row r="7" spans="1:11" ht="18.75" x14ac:dyDescent="0.3">
      <c r="A7" s="11" t="s">
        <v>91</v>
      </c>
      <c r="B7" s="17" t="s">
        <v>22</v>
      </c>
      <c r="C7" s="17" t="s">
        <v>23</v>
      </c>
      <c r="D7" s="17">
        <v>20</v>
      </c>
      <c r="E7" s="17" t="s">
        <v>12</v>
      </c>
      <c r="F7" s="17">
        <v>40000</v>
      </c>
      <c r="G7" s="17" t="str">
        <f t="shared" si="0"/>
        <v>HIGH PRICE</v>
      </c>
      <c r="H7" s="17" t="str">
        <f t="shared" si="1"/>
        <v>23</v>
      </c>
      <c r="I7" s="17" t="str">
        <f t="shared" si="2"/>
        <v>IN</v>
      </c>
      <c r="J7" s="18" t="str">
        <f t="shared" si="3"/>
        <v>6JU</v>
      </c>
      <c r="K7" s="21" t="b">
        <f t="shared" si="4"/>
        <v>0</v>
      </c>
    </row>
    <row r="8" spans="1:11" ht="18.75" x14ac:dyDescent="0.3">
      <c r="A8" s="11" t="s">
        <v>92</v>
      </c>
      <c r="B8" s="17" t="s">
        <v>24</v>
      </c>
      <c r="C8" s="17" t="s">
        <v>25</v>
      </c>
      <c r="D8" s="17">
        <v>25</v>
      </c>
      <c r="E8" s="17" t="s">
        <v>15</v>
      </c>
      <c r="F8" s="17">
        <v>3600</v>
      </c>
      <c r="G8" s="17" t="str">
        <f t="shared" si="0"/>
        <v>HIGH PRICE</v>
      </c>
      <c r="H8" s="17" t="str">
        <f t="shared" si="1"/>
        <v>23</v>
      </c>
      <c r="I8" s="17" t="str">
        <f t="shared" si="2"/>
        <v>EU</v>
      </c>
      <c r="J8" s="18" t="str">
        <f t="shared" si="3"/>
        <v>7JU</v>
      </c>
      <c r="K8" s="21" t="b">
        <f t="shared" si="4"/>
        <v>0</v>
      </c>
    </row>
    <row r="9" spans="1:11" ht="18.75" x14ac:dyDescent="0.3">
      <c r="A9" s="11" t="s">
        <v>93</v>
      </c>
      <c r="B9" s="17" t="s">
        <v>26</v>
      </c>
      <c r="C9" s="17" t="s">
        <v>27</v>
      </c>
      <c r="D9" s="17">
        <v>11</v>
      </c>
      <c r="E9" s="17" t="s">
        <v>12</v>
      </c>
      <c r="F9" s="17">
        <v>54000</v>
      </c>
      <c r="G9" s="17" t="str">
        <f t="shared" si="0"/>
        <v>HIGH PRICE</v>
      </c>
      <c r="H9" s="17" t="str">
        <f t="shared" si="1"/>
        <v>92</v>
      </c>
      <c r="I9" s="17" t="str">
        <f t="shared" si="2"/>
        <v>HU</v>
      </c>
      <c r="J9" s="18" t="str">
        <f t="shared" si="3"/>
        <v>8AU</v>
      </c>
      <c r="K9" s="21" t="b">
        <f t="shared" si="4"/>
        <v>0</v>
      </c>
    </row>
    <row r="10" spans="1:11" ht="18.75" x14ac:dyDescent="0.3">
      <c r="A10" s="11" t="s">
        <v>94</v>
      </c>
      <c r="B10" s="17" t="s">
        <v>28</v>
      </c>
      <c r="C10" s="17" t="s">
        <v>19</v>
      </c>
      <c r="D10" s="17">
        <v>29</v>
      </c>
      <c r="E10" s="17" t="s">
        <v>20</v>
      </c>
      <c r="F10" s="17">
        <v>300</v>
      </c>
      <c r="G10" s="17" t="str">
        <f t="shared" si="0"/>
        <v>STANDARD PRICE</v>
      </c>
      <c r="H10" s="17" t="str">
        <f t="shared" si="1"/>
        <v>34</v>
      </c>
      <c r="I10" s="17" t="str">
        <f t="shared" si="2"/>
        <v>CI</v>
      </c>
      <c r="J10" s="18" t="str">
        <f t="shared" si="3"/>
        <v>9SE</v>
      </c>
      <c r="K10" s="21" t="b">
        <f t="shared" si="4"/>
        <v>0</v>
      </c>
    </row>
    <row r="11" spans="1:11" ht="18.75" x14ac:dyDescent="0.3">
      <c r="A11" s="11" t="s">
        <v>95</v>
      </c>
      <c r="B11" s="17" t="s">
        <v>29</v>
      </c>
      <c r="C11" s="17" t="s">
        <v>30</v>
      </c>
      <c r="D11" s="17">
        <v>30</v>
      </c>
      <c r="E11" s="17" t="s">
        <v>12</v>
      </c>
      <c r="F11" s="17">
        <v>12000</v>
      </c>
      <c r="G11" s="17" t="str">
        <f t="shared" si="0"/>
        <v>HIGH PRICE</v>
      </c>
      <c r="H11" s="17" t="str">
        <f t="shared" si="1"/>
        <v>56</v>
      </c>
      <c r="I11" s="17" t="str">
        <f t="shared" si="2"/>
        <v>FR</v>
      </c>
      <c r="J11" s="18" t="str">
        <f t="shared" si="3"/>
        <v>2OC</v>
      </c>
      <c r="K11" s="21" t="b">
        <f t="shared" si="4"/>
        <v>0</v>
      </c>
    </row>
    <row r="12" spans="1:11" ht="18.75" x14ac:dyDescent="0.3">
      <c r="A12" s="11" t="s">
        <v>96</v>
      </c>
      <c r="B12" s="17" t="s">
        <v>31</v>
      </c>
      <c r="C12" s="17" t="s">
        <v>32</v>
      </c>
      <c r="D12" s="17">
        <v>5</v>
      </c>
      <c r="E12" s="17" t="s">
        <v>33</v>
      </c>
      <c r="F12" s="17">
        <v>400</v>
      </c>
      <c r="G12" s="17" t="str">
        <f t="shared" si="0"/>
        <v>STANDARD PRICE</v>
      </c>
      <c r="H12" s="17" t="str">
        <f t="shared" si="1"/>
        <v>23</v>
      </c>
      <c r="I12" s="17" t="str">
        <f t="shared" si="2"/>
        <v>US</v>
      </c>
      <c r="J12" s="18" t="str">
        <f t="shared" si="3"/>
        <v>1NO</v>
      </c>
      <c r="K12" s="21" t="b">
        <f t="shared" si="4"/>
        <v>0</v>
      </c>
    </row>
    <row r="13" spans="1:11" ht="18.75" x14ac:dyDescent="0.3">
      <c r="A13" s="11" t="s">
        <v>97</v>
      </c>
      <c r="B13" s="17" t="s">
        <v>34</v>
      </c>
      <c r="C13" s="17" t="s">
        <v>19</v>
      </c>
      <c r="D13" s="17">
        <v>30</v>
      </c>
      <c r="E13" s="17" t="s">
        <v>20</v>
      </c>
      <c r="F13" s="17">
        <v>40</v>
      </c>
      <c r="G13" s="17" t="str">
        <f t="shared" si="0"/>
        <v>STANDARD PRICE</v>
      </c>
      <c r="H13" s="17" t="str">
        <f t="shared" si="1"/>
        <v>89</v>
      </c>
      <c r="I13" s="17" t="str">
        <f t="shared" si="2"/>
        <v>IN</v>
      </c>
      <c r="J13" s="18" t="str">
        <f t="shared" si="3"/>
        <v>2DE</v>
      </c>
      <c r="K13" s="21" t="b">
        <f t="shared" si="4"/>
        <v>0</v>
      </c>
    </row>
    <row r="14" spans="1:11" ht="18.75" x14ac:dyDescent="0.3">
      <c r="A14" s="11" t="s">
        <v>98</v>
      </c>
      <c r="B14" s="17" t="s">
        <v>35</v>
      </c>
      <c r="C14" s="17" t="s">
        <v>32</v>
      </c>
      <c r="D14" s="17">
        <v>3</v>
      </c>
      <c r="E14" s="17" t="s">
        <v>33</v>
      </c>
      <c r="F14" s="17">
        <v>220</v>
      </c>
      <c r="G14" s="17" t="str">
        <f t="shared" si="0"/>
        <v>STANDARD PRICE</v>
      </c>
      <c r="H14" s="17" t="str">
        <f t="shared" si="1"/>
        <v>38</v>
      </c>
      <c r="I14" s="17" t="str">
        <f t="shared" si="2"/>
        <v>JO</v>
      </c>
      <c r="J14" s="18" t="str">
        <f t="shared" si="3"/>
        <v>1JA</v>
      </c>
      <c r="K14" s="21" t="b">
        <f t="shared" si="4"/>
        <v>0</v>
      </c>
    </row>
    <row r="15" spans="1:11" ht="18.75" x14ac:dyDescent="0.3">
      <c r="A15" s="11" t="s">
        <v>99</v>
      </c>
      <c r="B15" s="17" t="s">
        <v>36</v>
      </c>
      <c r="C15" s="17" t="s">
        <v>37</v>
      </c>
      <c r="D15" s="17">
        <v>20</v>
      </c>
      <c r="E15" s="17" t="s">
        <v>12</v>
      </c>
      <c r="F15" s="17">
        <v>130</v>
      </c>
      <c r="G15" s="17" t="str">
        <f t="shared" si="0"/>
        <v>STANDARD PRICE</v>
      </c>
      <c r="H15" s="17" t="str">
        <f t="shared" si="1"/>
        <v>35</v>
      </c>
      <c r="I15" s="17" t="str">
        <f t="shared" si="2"/>
        <v>KE</v>
      </c>
      <c r="J15" s="18" t="str">
        <f t="shared" si="3"/>
        <v>2FE</v>
      </c>
      <c r="K15" s="21" t="b">
        <f t="shared" si="4"/>
        <v>0</v>
      </c>
    </row>
    <row r="16" spans="1:11" ht="18.75" x14ac:dyDescent="0.3">
      <c r="A16" s="11" t="s">
        <v>100</v>
      </c>
      <c r="B16" s="17" t="s">
        <v>38</v>
      </c>
      <c r="C16" s="17" t="s">
        <v>39</v>
      </c>
      <c r="D16" s="17">
        <v>50</v>
      </c>
      <c r="E16" s="17" t="s">
        <v>15</v>
      </c>
      <c r="F16" s="17">
        <v>1500</v>
      </c>
      <c r="G16" s="17" t="str">
        <f t="shared" si="0"/>
        <v>HIGH PRICE</v>
      </c>
      <c r="H16" s="17" t="str">
        <f t="shared" si="1"/>
        <v>33</v>
      </c>
      <c r="I16" s="17" t="str">
        <f t="shared" si="2"/>
        <v>FR</v>
      </c>
      <c r="J16" s="18" t="str">
        <f t="shared" si="3"/>
        <v>3MA</v>
      </c>
      <c r="K16" s="21" t="b">
        <f t="shared" si="4"/>
        <v>0</v>
      </c>
    </row>
    <row r="17" spans="1:11" ht="18.75" x14ac:dyDescent="0.3">
      <c r="A17" s="11" t="s">
        <v>101</v>
      </c>
      <c r="B17" s="17" t="s">
        <v>40</v>
      </c>
      <c r="C17" s="17" t="s">
        <v>41</v>
      </c>
      <c r="D17" s="17">
        <v>1</v>
      </c>
      <c r="E17" s="17" t="s">
        <v>33</v>
      </c>
      <c r="F17" s="17">
        <v>800</v>
      </c>
      <c r="G17" s="17" t="str">
        <f t="shared" si="0"/>
        <v>HIGH PRICE</v>
      </c>
      <c r="H17" s="17" t="str">
        <f t="shared" si="1"/>
        <v>78</v>
      </c>
      <c r="I17" s="17" t="str">
        <f t="shared" si="2"/>
        <v>IE</v>
      </c>
      <c r="J17" s="18" t="str">
        <f t="shared" si="3"/>
        <v>4AP</v>
      </c>
      <c r="K17" s="21" t="b">
        <f t="shared" si="4"/>
        <v>0</v>
      </c>
    </row>
    <row r="18" spans="1:11" ht="18.75" x14ac:dyDescent="0.3">
      <c r="A18" s="11" t="s">
        <v>102</v>
      </c>
      <c r="B18" s="17" t="s">
        <v>42</v>
      </c>
      <c r="C18" s="17" t="s">
        <v>43</v>
      </c>
      <c r="D18" s="17">
        <v>23</v>
      </c>
      <c r="E18" s="17" t="s">
        <v>12</v>
      </c>
      <c r="F18" s="17">
        <v>600</v>
      </c>
      <c r="G18" s="17" t="str">
        <f t="shared" si="0"/>
        <v>HIGH PRICE</v>
      </c>
      <c r="H18" s="17" t="str">
        <f t="shared" si="1"/>
        <v>46</v>
      </c>
      <c r="I18" s="17" t="str">
        <f t="shared" si="2"/>
        <v>IN</v>
      </c>
      <c r="J18" s="18" t="str">
        <f t="shared" si="3"/>
        <v>5MA</v>
      </c>
      <c r="K18" s="21" t="b">
        <f t="shared" si="4"/>
        <v>0</v>
      </c>
    </row>
    <row r="19" spans="1:11" ht="18.75" x14ac:dyDescent="0.3">
      <c r="A19" s="11" t="s">
        <v>103</v>
      </c>
      <c r="B19" s="17" t="s">
        <v>44</v>
      </c>
      <c r="C19" s="17" t="s">
        <v>45</v>
      </c>
      <c r="D19" s="17">
        <v>23</v>
      </c>
      <c r="E19" s="17" t="s">
        <v>15</v>
      </c>
      <c r="F19" s="17">
        <v>2250</v>
      </c>
      <c r="G19" s="17" t="str">
        <f t="shared" si="0"/>
        <v>HIGH PRICE</v>
      </c>
      <c r="H19" s="17" t="str">
        <f t="shared" si="1"/>
        <v>23</v>
      </c>
      <c r="I19" s="17" t="str">
        <f t="shared" si="2"/>
        <v>HT</v>
      </c>
      <c r="J19" s="18" t="str">
        <f t="shared" si="3"/>
        <v>6JU</v>
      </c>
      <c r="K19" s="21" t="b">
        <f t="shared" si="4"/>
        <v>0</v>
      </c>
    </row>
    <row r="20" spans="1:11" ht="18.75" x14ac:dyDescent="0.3">
      <c r="A20" s="11" t="s">
        <v>104</v>
      </c>
      <c r="B20" s="17" t="s">
        <v>46</v>
      </c>
      <c r="C20" s="17" t="s">
        <v>47</v>
      </c>
      <c r="D20" s="17">
        <v>3</v>
      </c>
      <c r="E20" s="17" t="s">
        <v>33</v>
      </c>
      <c r="F20" s="17">
        <v>180</v>
      </c>
      <c r="G20" s="17" t="str">
        <f t="shared" si="0"/>
        <v>STANDARD PRICE</v>
      </c>
      <c r="H20" s="17" t="str">
        <f t="shared" si="1"/>
        <v>23</v>
      </c>
      <c r="I20" s="17" t="str">
        <f t="shared" si="2"/>
        <v>CI</v>
      </c>
      <c r="J20" s="18" t="str">
        <f t="shared" si="3"/>
        <v>7JU</v>
      </c>
      <c r="K20" s="21" t="b">
        <f t="shared" si="4"/>
        <v>0</v>
      </c>
    </row>
    <row r="21" spans="1:11" ht="18.75" x14ac:dyDescent="0.3">
      <c r="A21" s="11" t="s">
        <v>105</v>
      </c>
      <c r="B21" s="17" t="s">
        <v>48</v>
      </c>
      <c r="C21" s="17" t="s">
        <v>49</v>
      </c>
      <c r="D21" s="17">
        <v>10</v>
      </c>
      <c r="E21" s="17" t="s">
        <v>12</v>
      </c>
      <c r="F21" s="17">
        <v>3000</v>
      </c>
      <c r="G21" s="17" t="str">
        <f t="shared" si="0"/>
        <v>HIGH PRICE</v>
      </c>
      <c r="H21" s="17" t="str">
        <f t="shared" si="1"/>
        <v>92</v>
      </c>
      <c r="I21" s="17" t="str">
        <f t="shared" si="2"/>
        <v>ID</v>
      </c>
      <c r="J21" s="18" t="str">
        <f t="shared" si="3"/>
        <v>8AU</v>
      </c>
      <c r="K21" s="21" t="b">
        <f t="shared" si="4"/>
        <v>0</v>
      </c>
    </row>
    <row r="22" spans="1:11" ht="18.75" x14ac:dyDescent="0.3">
      <c r="A22" s="11" t="s">
        <v>106</v>
      </c>
      <c r="B22" s="17" t="s">
        <v>50</v>
      </c>
      <c r="C22" s="17" t="s">
        <v>45</v>
      </c>
      <c r="D22" s="17">
        <v>13</v>
      </c>
      <c r="E22" s="17" t="s">
        <v>15</v>
      </c>
      <c r="F22" s="17">
        <v>2500</v>
      </c>
      <c r="G22" s="17" t="str">
        <f t="shared" si="0"/>
        <v>HIGH PRICE</v>
      </c>
      <c r="H22" s="17" t="str">
        <f t="shared" si="1"/>
        <v>34</v>
      </c>
      <c r="I22" s="17" t="str">
        <f t="shared" si="2"/>
        <v>IL</v>
      </c>
      <c r="J22" s="18" t="str">
        <f t="shared" si="3"/>
        <v>9SE</v>
      </c>
      <c r="K22" s="21" t="b">
        <f t="shared" si="4"/>
        <v>0</v>
      </c>
    </row>
    <row r="23" spans="1:11" ht="18.75" x14ac:dyDescent="0.3">
      <c r="A23" s="11" t="s">
        <v>107</v>
      </c>
      <c r="B23" s="17" t="s">
        <v>51</v>
      </c>
      <c r="C23" s="17" t="s">
        <v>52</v>
      </c>
      <c r="D23" s="17">
        <v>20</v>
      </c>
      <c r="E23" s="17" t="s">
        <v>20</v>
      </c>
      <c r="F23" s="17">
        <v>320</v>
      </c>
      <c r="G23" s="17" t="str">
        <f t="shared" si="0"/>
        <v>STANDARD PRICE</v>
      </c>
      <c r="H23" s="17" t="str">
        <f t="shared" si="1"/>
        <v>53</v>
      </c>
      <c r="I23" s="17" t="str">
        <f t="shared" si="2"/>
        <v>EU</v>
      </c>
      <c r="J23" s="18" t="str">
        <f t="shared" si="3"/>
        <v>4OC</v>
      </c>
      <c r="K23" s="21" t="b">
        <f t="shared" si="4"/>
        <v>0</v>
      </c>
    </row>
    <row r="24" spans="1:11" ht="18.75" x14ac:dyDescent="0.3">
      <c r="A24" s="11" t="s">
        <v>108</v>
      </c>
      <c r="B24" s="17" t="s">
        <v>53</v>
      </c>
      <c r="C24" s="17" t="s">
        <v>49</v>
      </c>
      <c r="D24" s="17">
        <v>5</v>
      </c>
      <c r="E24" s="17" t="s">
        <v>12</v>
      </c>
      <c r="F24" s="17">
        <v>7000</v>
      </c>
      <c r="G24" s="17" t="str">
        <f t="shared" si="0"/>
        <v>HIGH PRICE</v>
      </c>
      <c r="H24" s="17" t="str">
        <f t="shared" si="1"/>
        <v>21</v>
      </c>
      <c r="I24" s="17" t="str">
        <f t="shared" si="2"/>
        <v>CI</v>
      </c>
      <c r="J24" s="18" t="str">
        <f t="shared" si="3"/>
        <v>1NO</v>
      </c>
      <c r="K24" s="21" t="b">
        <f t="shared" si="4"/>
        <v>0</v>
      </c>
    </row>
    <row r="25" spans="1:11" ht="18.75" x14ac:dyDescent="0.3">
      <c r="A25" s="11" t="s">
        <v>109</v>
      </c>
      <c r="B25" s="17" t="s">
        <v>54</v>
      </c>
      <c r="C25" s="17" t="s">
        <v>55</v>
      </c>
      <c r="D25" s="17">
        <v>3</v>
      </c>
      <c r="E25" s="17" t="s">
        <v>33</v>
      </c>
      <c r="F25" s="17">
        <v>30</v>
      </c>
      <c r="G25" s="17" t="str">
        <f t="shared" si="0"/>
        <v>STANDARD PRICE</v>
      </c>
      <c r="H25" s="17" t="str">
        <f t="shared" si="1"/>
        <v>80</v>
      </c>
      <c r="I25" s="17" t="str">
        <f t="shared" si="2"/>
        <v>IR</v>
      </c>
      <c r="J25" s="18" t="str">
        <f t="shared" si="3"/>
        <v>2DE</v>
      </c>
      <c r="K25" s="21" t="b">
        <f t="shared" si="4"/>
        <v>0</v>
      </c>
    </row>
    <row r="26" spans="1:11" ht="18.75" x14ac:dyDescent="0.3">
      <c r="A26" s="11" t="s">
        <v>110</v>
      </c>
      <c r="B26" s="17" t="s">
        <v>56</v>
      </c>
      <c r="C26" s="17" t="s">
        <v>52</v>
      </c>
      <c r="D26" s="17">
        <v>3</v>
      </c>
      <c r="E26" s="17" t="s">
        <v>20</v>
      </c>
      <c r="F26" s="17">
        <v>60</v>
      </c>
      <c r="G26" s="17" t="str">
        <f t="shared" si="0"/>
        <v>STANDARD PRICE</v>
      </c>
      <c r="H26" s="17" t="str">
        <f t="shared" si="1"/>
        <v>38</v>
      </c>
      <c r="I26" s="17" t="str">
        <f t="shared" si="2"/>
        <v>ID</v>
      </c>
      <c r="J26" s="18" t="str">
        <f t="shared" si="3"/>
        <v>1JA</v>
      </c>
      <c r="K26" s="21" t="b">
        <f t="shared" si="4"/>
        <v>0</v>
      </c>
    </row>
    <row r="27" spans="1:11" ht="18.75" x14ac:dyDescent="0.3">
      <c r="A27" s="11" t="s">
        <v>111</v>
      </c>
      <c r="B27" s="17" t="s">
        <v>31</v>
      </c>
      <c r="C27" s="17" t="s">
        <v>55</v>
      </c>
      <c r="D27" s="17">
        <v>7</v>
      </c>
      <c r="E27" s="17" t="s">
        <v>33</v>
      </c>
      <c r="F27" s="17">
        <v>300</v>
      </c>
      <c r="G27" s="17" t="str">
        <f t="shared" si="0"/>
        <v>STANDARD PRICE</v>
      </c>
      <c r="H27" s="17" t="str">
        <f t="shared" si="1"/>
        <v>35</v>
      </c>
      <c r="I27" s="17" t="str">
        <f t="shared" si="2"/>
        <v>IM</v>
      </c>
      <c r="J27" s="18" t="str">
        <f t="shared" si="3"/>
        <v>2FE</v>
      </c>
      <c r="K27" s="21" t="b">
        <f t="shared" si="4"/>
        <v>0</v>
      </c>
    </row>
    <row r="28" spans="1:11" ht="18.75" x14ac:dyDescent="0.3">
      <c r="A28" s="11" t="s">
        <v>112</v>
      </c>
      <c r="B28" s="17" t="s">
        <v>57</v>
      </c>
      <c r="C28" s="17" t="s">
        <v>11</v>
      </c>
      <c r="D28" s="17">
        <v>45</v>
      </c>
      <c r="E28" s="17" t="s">
        <v>12</v>
      </c>
      <c r="F28" s="17">
        <v>500</v>
      </c>
      <c r="G28" s="17" t="str">
        <f t="shared" si="0"/>
        <v>HIGH PRICE</v>
      </c>
      <c r="H28" s="17" t="str">
        <f t="shared" si="1"/>
        <v>38</v>
      </c>
      <c r="I28" s="17" t="str">
        <f t="shared" si="2"/>
        <v>JO</v>
      </c>
      <c r="J28" s="18" t="str">
        <f t="shared" si="3"/>
        <v>1JA</v>
      </c>
      <c r="K28" s="21" t="b">
        <f t="shared" si="4"/>
        <v>0</v>
      </c>
    </row>
    <row r="29" spans="1:11" ht="18.75" x14ac:dyDescent="0.3">
      <c r="A29" s="11" t="s">
        <v>113</v>
      </c>
      <c r="B29" s="17" t="s">
        <v>58</v>
      </c>
      <c r="C29" s="17" t="s">
        <v>59</v>
      </c>
      <c r="D29" s="17">
        <v>5</v>
      </c>
      <c r="E29" s="17" t="s">
        <v>12</v>
      </c>
      <c r="F29" s="17">
        <v>8000</v>
      </c>
      <c r="G29" s="17" t="str">
        <f t="shared" si="0"/>
        <v>HIGH PRICE</v>
      </c>
      <c r="H29" s="17" t="str">
        <f t="shared" si="1"/>
        <v>35</v>
      </c>
      <c r="I29" s="17" t="str">
        <f t="shared" si="2"/>
        <v>ID</v>
      </c>
      <c r="J29" s="18" t="str">
        <f t="shared" si="3"/>
        <v>2FE</v>
      </c>
      <c r="K29" s="21" t="b">
        <f t="shared" si="4"/>
        <v>0</v>
      </c>
    </row>
    <row r="30" spans="1:11" ht="18.75" x14ac:dyDescent="0.3">
      <c r="A30" s="11" t="s">
        <v>114</v>
      </c>
      <c r="B30" s="17" t="s">
        <v>60</v>
      </c>
      <c r="C30" s="17" t="s">
        <v>61</v>
      </c>
      <c r="D30" s="17">
        <v>2</v>
      </c>
      <c r="E30" s="17" t="s">
        <v>33</v>
      </c>
      <c r="F30" s="17">
        <v>900</v>
      </c>
      <c r="G30" s="17" t="str">
        <f t="shared" si="0"/>
        <v>HIGH PRICE</v>
      </c>
      <c r="H30" s="17" t="str">
        <f t="shared" si="1"/>
        <v>33</v>
      </c>
      <c r="I30" s="17" t="str">
        <f t="shared" si="2"/>
        <v>JO</v>
      </c>
      <c r="J30" s="18" t="str">
        <f t="shared" si="3"/>
        <v>3MA</v>
      </c>
      <c r="K30" s="21" t="b">
        <f t="shared" si="4"/>
        <v>0</v>
      </c>
    </row>
    <row r="31" spans="1:11" ht="18.75" x14ac:dyDescent="0.3">
      <c r="A31" s="11" t="s">
        <v>115</v>
      </c>
      <c r="B31" s="22" t="s">
        <v>62</v>
      </c>
      <c r="C31" s="22" t="s">
        <v>63</v>
      </c>
      <c r="D31" s="22">
        <v>20</v>
      </c>
      <c r="E31" s="22" t="s">
        <v>64</v>
      </c>
      <c r="F31" s="22">
        <v>450</v>
      </c>
      <c r="G31" s="22" t="str">
        <f t="shared" si="0"/>
        <v>STANDARD PRICE</v>
      </c>
      <c r="H31" s="22" t="str">
        <f t="shared" si="1"/>
        <v>30</v>
      </c>
      <c r="I31" s="22" t="str">
        <f t="shared" si="2"/>
        <v>CI</v>
      </c>
      <c r="J31" s="23" t="str">
        <f t="shared" si="3"/>
        <v>4AP</v>
      </c>
      <c r="K31" s="24" t="b">
        <f t="shared" si="4"/>
        <v>0</v>
      </c>
    </row>
    <row r="34" spans="1:3" x14ac:dyDescent="0.25">
      <c r="A34" s="5" t="s">
        <v>66</v>
      </c>
      <c r="C34" s="5">
        <f>COUNTBLANK(F2:F31)</f>
        <v>0</v>
      </c>
    </row>
    <row r="35" spans="1:3" x14ac:dyDescent="0.25">
      <c r="A35" s="5" t="s">
        <v>67</v>
      </c>
      <c r="C35" s="5">
        <f>COUNTBLANK(E2:E31)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E0DD-E2DD-4BDC-BE04-C72F0EF2BD9A}">
  <dimension ref="A1:K32"/>
  <sheetViews>
    <sheetView zoomScale="112" zoomScaleNormal="112" workbookViewId="0">
      <selection activeCell="E40" sqref="E40"/>
    </sheetView>
  </sheetViews>
  <sheetFormatPr defaultRowHeight="15.75" x14ac:dyDescent="0.25"/>
  <cols>
    <col min="1" max="1" width="28.42578125" style="5" bestFit="1" customWidth="1"/>
    <col min="2" max="2" width="35.42578125" style="5" bestFit="1" customWidth="1"/>
    <col min="3" max="3" width="30.5703125" style="5" bestFit="1" customWidth="1"/>
    <col min="4" max="4" width="24.140625" style="5" bestFit="1" customWidth="1"/>
    <col min="5" max="5" width="28.7109375" style="5" bestFit="1" customWidth="1"/>
    <col min="6" max="6" width="16.42578125" style="5" bestFit="1" customWidth="1"/>
    <col min="7" max="7" width="29.85546875" style="5" bestFit="1" customWidth="1"/>
    <col min="8" max="8" width="13.140625" style="5" bestFit="1" customWidth="1"/>
    <col min="9" max="9" width="34.140625" style="5" bestFit="1" customWidth="1"/>
    <col min="10" max="10" width="21.140625" style="5" bestFit="1" customWidth="1"/>
    <col min="11" max="11" width="30.85546875" style="5" bestFit="1" customWidth="1"/>
    <col min="12" max="16384" width="9.140625" style="5"/>
  </cols>
  <sheetData>
    <row r="1" spans="1:11" s="4" customFormat="1" ht="23.25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65</v>
      </c>
    </row>
    <row r="2" spans="1:11" ht="18.75" x14ac:dyDescent="0.3">
      <c r="A2" s="11" t="s">
        <v>87</v>
      </c>
      <c r="B2" s="17" t="s">
        <v>10</v>
      </c>
      <c r="C2" s="17" t="s">
        <v>11</v>
      </c>
      <c r="D2" s="17">
        <v>20</v>
      </c>
      <c r="E2" s="17" t="s">
        <v>12</v>
      </c>
      <c r="F2" s="17">
        <v>130</v>
      </c>
      <c r="G2" s="17" t="str">
        <f t="shared" ref="G2:G31" si="0">IF(F2&gt;=500,"HIGH PRICE","STANDARD PRICE")</f>
        <v>STANDARD PRICE</v>
      </c>
      <c r="H2" s="17" t="str">
        <f t="shared" ref="H2:H31" si="1">LEFT(A2,2)</f>
        <v>38</v>
      </c>
      <c r="I2" s="17" t="str">
        <f t="shared" ref="I2:I31" si="2">RIGHT(A2,2)</f>
        <v>IN</v>
      </c>
      <c r="J2" s="17" t="str">
        <f t="shared" ref="J2:J31" si="3">MID(A2,4,3)</f>
        <v>1JA</v>
      </c>
      <c r="K2" s="21" t="b">
        <f t="shared" ref="K2:K31" si="4">ISBLANK(F2)</f>
        <v>0</v>
      </c>
    </row>
    <row r="3" spans="1:11" ht="18.75" x14ac:dyDescent="0.3">
      <c r="A3" s="11" t="s">
        <v>86</v>
      </c>
      <c r="B3" s="20" t="s">
        <v>68</v>
      </c>
      <c r="C3" s="17" t="s">
        <v>14</v>
      </c>
      <c r="D3" s="17">
        <v>39</v>
      </c>
      <c r="E3" s="17" t="s">
        <v>15</v>
      </c>
      <c r="F3" s="17">
        <v>600</v>
      </c>
      <c r="G3" s="17" t="str">
        <f t="shared" si="0"/>
        <v>HIGH PRICE</v>
      </c>
      <c r="H3" s="17" t="str">
        <f t="shared" si="1"/>
        <v>35</v>
      </c>
      <c r="I3" s="17" t="str">
        <f t="shared" si="2"/>
        <v>US</v>
      </c>
      <c r="J3" s="17" t="str">
        <f t="shared" si="3"/>
        <v>2FE</v>
      </c>
      <c r="K3" s="21" t="b">
        <f t="shared" si="4"/>
        <v>0</v>
      </c>
    </row>
    <row r="4" spans="1:11" ht="18.75" x14ac:dyDescent="0.3">
      <c r="A4" s="11" t="s">
        <v>88</v>
      </c>
      <c r="B4" s="17" t="s">
        <v>16</v>
      </c>
      <c r="C4" s="17" t="s">
        <v>17</v>
      </c>
      <c r="D4" s="17">
        <v>25</v>
      </c>
      <c r="E4" s="17" t="s">
        <v>12</v>
      </c>
      <c r="F4" s="17">
        <v>2500</v>
      </c>
      <c r="G4" s="17" t="str">
        <f t="shared" si="0"/>
        <v>HIGH PRICE</v>
      </c>
      <c r="H4" s="17" t="str">
        <f t="shared" si="1"/>
        <v>33</v>
      </c>
      <c r="I4" s="17" t="str">
        <f t="shared" si="2"/>
        <v>FR</v>
      </c>
      <c r="J4" s="17" t="str">
        <f t="shared" si="3"/>
        <v>3MA</v>
      </c>
      <c r="K4" s="21" t="b">
        <f t="shared" si="4"/>
        <v>0</v>
      </c>
    </row>
    <row r="5" spans="1:11" ht="18.75" x14ac:dyDescent="0.3">
      <c r="A5" s="11" t="s">
        <v>89</v>
      </c>
      <c r="B5" s="17" t="s">
        <v>18</v>
      </c>
      <c r="C5" s="17" t="s">
        <v>19</v>
      </c>
      <c r="D5" s="17">
        <v>40</v>
      </c>
      <c r="E5" s="17" t="s">
        <v>20</v>
      </c>
      <c r="F5" s="17">
        <v>160</v>
      </c>
      <c r="G5" s="17" t="str">
        <f t="shared" si="0"/>
        <v>STANDARD PRICE</v>
      </c>
      <c r="H5" s="17" t="str">
        <f t="shared" si="1"/>
        <v>30</v>
      </c>
      <c r="I5" s="17" t="str">
        <f t="shared" si="2"/>
        <v>ER</v>
      </c>
      <c r="J5" s="17" t="str">
        <f t="shared" si="3"/>
        <v>4AP</v>
      </c>
      <c r="K5" s="21" t="b">
        <f t="shared" si="4"/>
        <v>0</v>
      </c>
    </row>
    <row r="6" spans="1:11" ht="18.75" x14ac:dyDescent="0.3">
      <c r="A6" s="11" t="s">
        <v>90</v>
      </c>
      <c r="B6" s="17" t="s">
        <v>21</v>
      </c>
      <c r="C6" s="17" t="s">
        <v>11</v>
      </c>
      <c r="D6" s="17">
        <v>50</v>
      </c>
      <c r="E6" s="17" t="s">
        <v>12</v>
      </c>
      <c r="F6" s="17">
        <v>45000</v>
      </c>
      <c r="G6" s="17" t="str">
        <f t="shared" si="0"/>
        <v>HIGH PRICE</v>
      </c>
      <c r="H6" s="17" t="str">
        <f t="shared" si="1"/>
        <v>46</v>
      </c>
      <c r="I6" s="17" t="str">
        <f t="shared" si="2"/>
        <v>IS</v>
      </c>
      <c r="J6" s="17" t="str">
        <f t="shared" si="3"/>
        <v>5MA</v>
      </c>
      <c r="K6" s="21" t="b">
        <f t="shared" si="4"/>
        <v>0</v>
      </c>
    </row>
    <row r="7" spans="1:11" ht="18.75" x14ac:dyDescent="0.3">
      <c r="A7" s="11" t="s">
        <v>91</v>
      </c>
      <c r="B7" s="17" t="s">
        <v>22</v>
      </c>
      <c r="C7" s="17" t="s">
        <v>23</v>
      </c>
      <c r="D7" s="17">
        <v>20</v>
      </c>
      <c r="E7" s="17" t="s">
        <v>12</v>
      </c>
      <c r="F7" s="17">
        <v>40000</v>
      </c>
      <c r="G7" s="17" t="str">
        <f t="shared" si="0"/>
        <v>HIGH PRICE</v>
      </c>
      <c r="H7" s="17" t="str">
        <f t="shared" si="1"/>
        <v>23</v>
      </c>
      <c r="I7" s="17" t="str">
        <f t="shared" si="2"/>
        <v>IN</v>
      </c>
      <c r="J7" s="17" t="str">
        <f t="shared" si="3"/>
        <v>6JU</v>
      </c>
      <c r="K7" s="21" t="b">
        <f t="shared" si="4"/>
        <v>0</v>
      </c>
    </row>
    <row r="8" spans="1:11" ht="18.75" x14ac:dyDescent="0.3">
      <c r="A8" s="11" t="s">
        <v>92</v>
      </c>
      <c r="B8" s="20" t="s">
        <v>69</v>
      </c>
      <c r="C8" s="17" t="s">
        <v>25</v>
      </c>
      <c r="D8" s="17">
        <v>25</v>
      </c>
      <c r="E8" s="17" t="s">
        <v>15</v>
      </c>
      <c r="F8" s="17">
        <v>3600</v>
      </c>
      <c r="G8" s="17" t="str">
        <f t="shared" si="0"/>
        <v>HIGH PRICE</v>
      </c>
      <c r="H8" s="17" t="str">
        <f t="shared" si="1"/>
        <v>23</v>
      </c>
      <c r="I8" s="17" t="str">
        <f t="shared" si="2"/>
        <v>EU</v>
      </c>
      <c r="J8" s="17" t="str">
        <f t="shared" si="3"/>
        <v>7JU</v>
      </c>
      <c r="K8" s="21" t="b">
        <f t="shared" si="4"/>
        <v>0</v>
      </c>
    </row>
    <row r="9" spans="1:11" ht="18.75" x14ac:dyDescent="0.3">
      <c r="A9" s="11" t="s">
        <v>93</v>
      </c>
      <c r="B9" s="17" t="s">
        <v>26</v>
      </c>
      <c r="C9" s="17" t="s">
        <v>27</v>
      </c>
      <c r="D9" s="17">
        <v>11</v>
      </c>
      <c r="E9" s="17" t="s">
        <v>12</v>
      </c>
      <c r="F9" s="17">
        <v>54000</v>
      </c>
      <c r="G9" s="17" t="str">
        <f t="shared" si="0"/>
        <v>HIGH PRICE</v>
      </c>
      <c r="H9" s="17" t="str">
        <f t="shared" si="1"/>
        <v>92</v>
      </c>
      <c r="I9" s="17" t="str">
        <f t="shared" si="2"/>
        <v>HU</v>
      </c>
      <c r="J9" s="17" t="str">
        <f t="shared" si="3"/>
        <v>8AU</v>
      </c>
      <c r="K9" s="21" t="b">
        <f t="shared" si="4"/>
        <v>0</v>
      </c>
    </row>
    <row r="10" spans="1:11" ht="18.75" x14ac:dyDescent="0.3">
      <c r="A10" s="11" t="s">
        <v>94</v>
      </c>
      <c r="B10" s="17" t="s">
        <v>28</v>
      </c>
      <c r="C10" s="17" t="s">
        <v>19</v>
      </c>
      <c r="D10" s="17">
        <v>29</v>
      </c>
      <c r="E10" s="17" t="s">
        <v>20</v>
      </c>
      <c r="F10" s="17">
        <v>300</v>
      </c>
      <c r="G10" s="17" t="str">
        <f t="shared" si="0"/>
        <v>STANDARD PRICE</v>
      </c>
      <c r="H10" s="17" t="str">
        <f t="shared" si="1"/>
        <v>34</v>
      </c>
      <c r="I10" s="17" t="str">
        <f t="shared" si="2"/>
        <v>CI</v>
      </c>
      <c r="J10" s="17" t="str">
        <f t="shared" si="3"/>
        <v>9SE</v>
      </c>
      <c r="K10" s="21" t="b">
        <f t="shared" si="4"/>
        <v>0</v>
      </c>
    </row>
    <row r="11" spans="1:11" ht="18.75" x14ac:dyDescent="0.3">
      <c r="A11" s="11" t="s">
        <v>95</v>
      </c>
      <c r="B11" s="20" t="s">
        <v>70</v>
      </c>
      <c r="C11" s="17" t="s">
        <v>30</v>
      </c>
      <c r="D11" s="17">
        <v>30</v>
      </c>
      <c r="E11" s="17" t="s">
        <v>12</v>
      </c>
      <c r="F11" s="17">
        <v>12000</v>
      </c>
      <c r="G11" s="17" t="str">
        <f t="shared" si="0"/>
        <v>HIGH PRICE</v>
      </c>
      <c r="H11" s="17" t="str">
        <f t="shared" si="1"/>
        <v>56</v>
      </c>
      <c r="I11" s="17" t="str">
        <f t="shared" si="2"/>
        <v>FR</v>
      </c>
      <c r="J11" s="17" t="str">
        <f t="shared" si="3"/>
        <v>2OC</v>
      </c>
      <c r="K11" s="21" t="b">
        <f t="shared" si="4"/>
        <v>0</v>
      </c>
    </row>
    <row r="12" spans="1:11" ht="18.75" x14ac:dyDescent="0.3">
      <c r="A12" s="11" t="s">
        <v>96</v>
      </c>
      <c r="B12" s="17" t="s">
        <v>31</v>
      </c>
      <c r="C12" s="17" t="s">
        <v>32</v>
      </c>
      <c r="D12" s="17">
        <v>5</v>
      </c>
      <c r="E12" s="20" t="s">
        <v>79</v>
      </c>
      <c r="F12" s="17">
        <v>400</v>
      </c>
      <c r="G12" s="17" t="str">
        <f t="shared" si="0"/>
        <v>STANDARD PRICE</v>
      </c>
      <c r="H12" s="17" t="str">
        <f t="shared" si="1"/>
        <v>23</v>
      </c>
      <c r="I12" s="17" t="str">
        <f t="shared" si="2"/>
        <v>US</v>
      </c>
      <c r="J12" s="17" t="str">
        <f t="shared" si="3"/>
        <v>1NO</v>
      </c>
      <c r="K12" s="21" t="b">
        <f t="shared" si="4"/>
        <v>0</v>
      </c>
    </row>
    <row r="13" spans="1:11" ht="18.75" x14ac:dyDescent="0.3">
      <c r="A13" s="11" t="s">
        <v>97</v>
      </c>
      <c r="B13" s="17" t="s">
        <v>34</v>
      </c>
      <c r="C13" s="17" t="s">
        <v>19</v>
      </c>
      <c r="D13" s="17">
        <v>30</v>
      </c>
      <c r="E13" s="17" t="s">
        <v>20</v>
      </c>
      <c r="F13" s="17">
        <v>40</v>
      </c>
      <c r="G13" s="17" t="str">
        <f t="shared" si="0"/>
        <v>STANDARD PRICE</v>
      </c>
      <c r="H13" s="17" t="str">
        <f t="shared" si="1"/>
        <v>89</v>
      </c>
      <c r="I13" s="17" t="str">
        <f t="shared" si="2"/>
        <v>IN</v>
      </c>
      <c r="J13" s="17" t="str">
        <f t="shared" si="3"/>
        <v>2DE</v>
      </c>
      <c r="K13" s="21" t="b">
        <f t="shared" si="4"/>
        <v>0</v>
      </c>
    </row>
    <row r="14" spans="1:11" ht="18.75" x14ac:dyDescent="0.3">
      <c r="A14" s="11" t="s">
        <v>98</v>
      </c>
      <c r="B14" s="17" t="s">
        <v>35</v>
      </c>
      <c r="C14" s="17" t="s">
        <v>32</v>
      </c>
      <c r="D14" s="17">
        <v>3</v>
      </c>
      <c r="E14" s="20" t="s">
        <v>79</v>
      </c>
      <c r="F14" s="17">
        <v>220</v>
      </c>
      <c r="G14" s="17" t="str">
        <f t="shared" si="0"/>
        <v>STANDARD PRICE</v>
      </c>
      <c r="H14" s="17" t="str">
        <f t="shared" si="1"/>
        <v>38</v>
      </c>
      <c r="I14" s="17" t="str">
        <f t="shared" si="2"/>
        <v>JO</v>
      </c>
      <c r="J14" s="17" t="str">
        <f t="shared" si="3"/>
        <v>1JA</v>
      </c>
      <c r="K14" s="21" t="b">
        <f t="shared" si="4"/>
        <v>0</v>
      </c>
    </row>
    <row r="15" spans="1:11" ht="18.75" x14ac:dyDescent="0.3">
      <c r="A15" s="11" t="s">
        <v>99</v>
      </c>
      <c r="B15" s="17" t="s">
        <v>36</v>
      </c>
      <c r="C15" s="17" t="s">
        <v>37</v>
      </c>
      <c r="D15" s="17">
        <v>20</v>
      </c>
      <c r="E15" s="17" t="s">
        <v>12</v>
      </c>
      <c r="F15" s="17">
        <v>130</v>
      </c>
      <c r="G15" s="17" t="str">
        <f t="shared" si="0"/>
        <v>STANDARD PRICE</v>
      </c>
      <c r="H15" s="17" t="str">
        <f t="shared" si="1"/>
        <v>35</v>
      </c>
      <c r="I15" s="17" t="str">
        <f t="shared" si="2"/>
        <v>KE</v>
      </c>
      <c r="J15" s="17" t="str">
        <f t="shared" si="3"/>
        <v>2FE</v>
      </c>
      <c r="K15" s="21" t="b">
        <f t="shared" si="4"/>
        <v>0</v>
      </c>
    </row>
    <row r="16" spans="1:11" ht="18.75" x14ac:dyDescent="0.3">
      <c r="A16" s="11" t="s">
        <v>100</v>
      </c>
      <c r="B16" s="20" t="s">
        <v>71</v>
      </c>
      <c r="C16" s="17" t="s">
        <v>39</v>
      </c>
      <c r="D16" s="17">
        <v>50</v>
      </c>
      <c r="E16" s="17" t="s">
        <v>15</v>
      </c>
      <c r="F16" s="17">
        <v>1500</v>
      </c>
      <c r="G16" s="17" t="str">
        <f t="shared" si="0"/>
        <v>HIGH PRICE</v>
      </c>
      <c r="H16" s="17" t="str">
        <f t="shared" si="1"/>
        <v>33</v>
      </c>
      <c r="I16" s="17" t="str">
        <f t="shared" si="2"/>
        <v>FR</v>
      </c>
      <c r="J16" s="17" t="str">
        <f t="shared" si="3"/>
        <v>3MA</v>
      </c>
      <c r="K16" s="21" t="b">
        <f t="shared" si="4"/>
        <v>0</v>
      </c>
    </row>
    <row r="17" spans="1:11" ht="18.75" x14ac:dyDescent="0.3">
      <c r="A17" s="11" t="s">
        <v>101</v>
      </c>
      <c r="B17" s="17" t="s">
        <v>40</v>
      </c>
      <c r="C17" s="17" t="s">
        <v>41</v>
      </c>
      <c r="D17" s="17">
        <v>1</v>
      </c>
      <c r="E17" s="20" t="s">
        <v>79</v>
      </c>
      <c r="F17" s="17">
        <v>800</v>
      </c>
      <c r="G17" s="17" t="str">
        <f t="shared" si="0"/>
        <v>HIGH PRICE</v>
      </c>
      <c r="H17" s="17" t="str">
        <f t="shared" si="1"/>
        <v>78</v>
      </c>
      <c r="I17" s="17" t="str">
        <f t="shared" si="2"/>
        <v>IE</v>
      </c>
      <c r="J17" s="17" t="str">
        <f t="shared" si="3"/>
        <v>4AP</v>
      </c>
      <c r="K17" s="21" t="b">
        <f t="shared" si="4"/>
        <v>0</v>
      </c>
    </row>
    <row r="18" spans="1:11" ht="18.75" x14ac:dyDescent="0.3">
      <c r="A18" s="11" t="s">
        <v>102</v>
      </c>
      <c r="B18" s="17" t="s">
        <v>42</v>
      </c>
      <c r="C18" s="17" t="s">
        <v>43</v>
      </c>
      <c r="D18" s="17">
        <v>23</v>
      </c>
      <c r="E18" s="17" t="s">
        <v>12</v>
      </c>
      <c r="F18" s="17">
        <v>600</v>
      </c>
      <c r="G18" s="17" t="str">
        <f t="shared" si="0"/>
        <v>HIGH PRICE</v>
      </c>
      <c r="H18" s="17" t="str">
        <f t="shared" si="1"/>
        <v>46</v>
      </c>
      <c r="I18" s="17" t="str">
        <f t="shared" si="2"/>
        <v>IN</v>
      </c>
      <c r="J18" s="17" t="str">
        <f t="shared" si="3"/>
        <v>5MA</v>
      </c>
      <c r="K18" s="21" t="b">
        <f t="shared" si="4"/>
        <v>0</v>
      </c>
    </row>
    <row r="19" spans="1:11" ht="18.75" x14ac:dyDescent="0.3">
      <c r="A19" s="11" t="s">
        <v>103</v>
      </c>
      <c r="B19" s="20" t="s">
        <v>72</v>
      </c>
      <c r="C19" s="17" t="s">
        <v>45</v>
      </c>
      <c r="D19" s="17">
        <v>23</v>
      </c>
      <c r="E19" s="17" t="s">
        <v>15</v>
      </c>
      <c r="F19" s="17">
        <v>2250</v>
      </c>
      <c r="G19" s="17" t="str">
        <f t="shared" si="0"/>
        <v>HIGH PRICE</v>
      </c>
      <c r="H19" s="17" t="str">
        <f t="shared" si="1"/>
        <v>23</v>
      </c>
      <c r="I19" s="17" t="str">
        <f t="shared" si="2"/>
        <v>HT</v>
      </c>
      <c r="J19" s="17" t="str">
        <f t="shared" si="3"/>
        <v>6JU</v>
      </c>
      <c r="K19" s="21" t="b">
        <f t="shared" si="4"/>
        <v>0</v>
      </c>
    </row>
    <row r="20" spans="1:11" ht="18.75" x14ac:dyDescent="0.3">
      <c r="A20" s="11" t="s">
        <v>104</v>
      </c>
      <c r="B20" s="17" t="s">
        <v>46</v>
      </c>
      <c r="C20" s="17" t="s">
        <v>47</v>
      </c>
      <c r="D20" s="17">
        <v>3</v>
      </c>
      <c r="E20" s="20" t="s">
        <v>79</v>
      </c>
      <c r="F20" s="17">
        <v>180</v>
      </c>
      <c r="G20" s="17" t="str">
        <f t="shared" si="0"/>
        <v>STANDARD PRICE</v>
      </c>
      <c r="H20" s="17" t="str">
        <f t="shared" si="1"/>
        <v>23</v>
      </c>
      <c r="I20" s="17" t="str">
        <f t="shared" si="2"/>
        <v>CI</v>
      </c>
      <c r="J20" s="17" t="str">
        <f t="shared" si="3"/>
        <v>7JU</v>
      </c>
      <c r="K20" s="21" t="b">
        <f t="shared" si="4"/>
        <v>0</v>
      </c>
    </row>
    <row r="21" spans="1:11" ht="18.75" x14ac:dyDescent="0.3">
      <c r="A21" s="11" t="s">
        <v>105</v>
      </c>
      <c r="B21" s="17" t="s">
        <v>48</v>
      </c>
      <c r="C21" s="17" t="s">
        <v>49</v>
      </c>
      <c r="D21" s="17">
        <v>10</v>
      </c>
      <c r="E21" s="17" t="s">
        <v>12</v>
      </c>
      <c r="F21" s="17">
        <v>3000</v>
      </c>
      <c r="G21" s="17" t="str">
        <f t="shared" si="0"/>
        <v>HIGH PRICE</v>
      </c>
      <c r="H21" s="17" t="str">
        <f t="shared" si="1"/>
        <v>92</v>
      </c>
      <c r="I21" s="17" t="str">
        <f t="shared" si="2"/>
        <v>ID</v>
      </c>
      <c r="J21" s="17" t="str">
        <f t="shared" si="3"/>
        <v>8AU</v>
      </c>
      <c r="K21" s="21" t="b">
        <f t="shared" si="4"/>
        <v>0</v>
      </c>
    </row>
    <row r="22" spans="1:11" ht="18.75" x14ac:dyDescent="0.3">
      <c r="A22" s="11" t="s">
        <v>106</v>
      </c>
      <c r="B22" s="20" t="s">
        <v>73</v>
      </c>
      <c r="C22" s="17" t="s">
        <v>45</v>
      </c>
      <c r="D22" s="17">
        <v>13</v>
      </c>
      <c r="E22" s="17" t="s">
        <v>15</v>
      </c>
      <c r="F22" s="17">
        <v>2500</v>
      </c>
      <c r="G22" s="17" t="str">
        <f t="shared" si="0"/>
        <v>HIGH PRICE</v>
      </c>
      <c r="H22" s="17" t="str">
        <f t="shared" si="1"/>
        <v>34</v>
      </c>
      <c r="I22" s="17" t="str">
        <f t="shared" si="2"/>
        <v>IL</v>
      </c>
      <c r="J22" s="17" t="str">
        <f t="shared" si="3"/>
        <v>9SE</v>
      </c>
      <c r="K22" s="21" t="b">
        <f t="shared" si="4"/>
        <v>0</v>
      </c>
    </row>
    <row r="23" spans="1:11" ht="18.75" x14ac:dyDescent="0.3">
      <c r="A23" s="11" t="s">
        <v>107</v>
      </c>
      <c r="B23" s="17" t="s">
        <v>51</v>
      </c>
      <c r="C23" s="17" t="s">
        <v>52</v>
      </c>
      <c r="D23" s="17">
        <v>20</v>
      </c>
      <c r="E23" s="17" t="s">
        <v>20</v>
      </c>
      <c r="F23" s="17">
        <v>320</v>
      </c>
      <c r="G23" s="17" t="str">
        <f t="shared" si="0"/>
        <v>STANDARD PRICE</v>
      </c>
      <c r="H23" s="17" t="str">
        <f t="shared" si="1"/>
        <v>53</v>
      </c>
      <c r="I23" s="17" t="str">
        <f t="shared" si="2"/>
        <v>EU</v>
      </c>
      <c r="J23" s="17" t="str">
        <f t="shared" si="3"/>
        <v>4OC</v>
      </c>
      <c r="K23" s="21" t="b">
        <f t="shared" si="4"/>
        <v>0</v>
      </c>
    </row>
    <row r="24" spans="1:11" ht="18.75" x14ac:dyDescent="0.3">
      <c r="A24" s="11" t="s">
        <v>108</v>
      </c>
      <c r="B24" s="17" t="s">
        <v>53</v>
      </c>
      <c r="C24" s="17" t="s">
        <v>49</v>
      </c>
      <c r="D24" s="17">
        <v>5</v>
      </c>
      <c r="E24" s="17" t="s">
        <v>12</v>
      </c>
      <c r="F24" s="17">
        <v>7000</v>
      </c>
      <c r="G24" s="17" t="str">
        <f t="shared" si="0"/>
        <v>HIGH PRICE</v>
      </c>
      <c r="H24" s="17" t="str">
        <f t="shared" si="1"/>
        <v>21</v>
      </c>
      <c r="I24" s="17" t="str">
        <f t="shared" si="2"/>
        <v>CI</v>
      </c>
      <c r="J24" s="17" t="str">
        <f t="shared" si="3"/>
        <v>1NO</v>
      </c>
      <c r="K24" s="21" t="b">
        <f t="shared" si="4"/>
        <v>0</v>
      </c>
    </row>
    <row r="25" spans="1:11" ht="18.75" x14ac:dyDescent="0.3">
      <c r="A25" s="11" t="s">
        <v>109</v>
      </c>
      <c r="B25" s="20" t="s">
        <v>74</v>
      </c>
      <c r="C25" s="17" t="s">
        <v>55</v>
      </c>
      <c r="D25" s="17">
        <v>3</v>
      </c>
      <c r="E25" s="20" t="s">
        <v>79</v>
      </c>
      <c r="F25" s="17">
        <v>30</v>
      </c>
      <c r="G25" s="17" t="str">
        <f t="shared" si="0"/>
        <v>STANDARD PRICE</v>
      </c>
      <c r="H25" s="17" t="str">
        <f t="shared" si="1"/>
        <v>80</v>
      </c>
      <c r="I25" s="17" t="str">
        <f t="shared" si="2"/>
        <v>IR</v>
      </c>
      <c r="J25" s="17" t="str">
        <f t="shared" si="3"/>
        <v>2DE</v>
      </c>
      <c r="K25" s="21" t="b">
        <f t="shared" si="4"/>
        <v>0</v>
      </c>
    </row>
    <row r="26" spans="1:11" ht="18.75" x14ac:dyDescent="0.3">
      <c r="A26" s="11" t="s">
        <v>110</v>
      </c>
      <c r="B26" s="20" t="s">
        <v>75</v>
      </c>
      <c r="C26" s="17" t="s">
        <v>52</v>
      </c>
      <c r="D26" s="17">
        <v>3</v>
      </c>
      <c r="E26" s="17" t="s">
        <v>20</v>
      </c>
      <c r="F26" s="17">
        <v>60</v>
      </c>
      <c r="G26" s="17" t="str">
        <f t="shared" si="0"/>
        <v>STANDARD PRICE</v>
      </c>
      <c r="H26" s="17" t="str">
        <f t="shared" si="1"/>
        <v>38</v>
      </c>
      <c r="I26" s="17" t="str">
        <f t="shared" si="2"/>
        <v>ID</v>
      </c>
      <c r="J26" s="17" t="str">
        <f t="shared" si="3"/>
        <v>1JA</v>
      </c>
      <c r="K26" s="21" t="b">
        <f t="shared" si="4"/>
        <v>0</v>
      </c>
    </row>
    <row r="27" spans="1:11" ht="18.75" x14ac:dyDescent="0.3">
      <c r="A27" s="11" t="s">
        <v>111</v>
      </c>
      <c r="B27" s="17" t="s">
        <v>31</v>
      </c>
      <c r="C27" s="17" t="s">
        <v>55</v>
      </c>
      <c r="D27" s="17">
        <v>7</v>
      </c>
      <c r="E27" s="20" t="s">
        <v>79</v>
      </c>
      <c r="F27" s="17">
        <v>300</v>
      </c>
      <c r="G27" s="17" t="str">
        <f t="shared" si="0"/>
        <v>STANDARD PRICE</v>
      </c>
      <c r="H27" s="17" t="str">
        <f t="shared" si="1"/>
        <v>35</v>
      </c>
      <c r="I27" s="17" t="str">
        <f t="shared" si="2"/>
        <v>IM</v>
      </c>
      <c r="J27" s="17" t="str">
        <f t="shared" si="3"/>
        <v>2FE</v>
      </c>
      <c r="K27" s="21" t="b">
        <f t="shared" si="4"/>
        <v>0</v>
      </c>
    </row>
    <row r="28" spans="1:11" ht="18.75" x14ac:dyDescent="0.3">
      <c r="A28" s="11" t="s">
        <v>112</v>
      </c>
      <c r="B28" s="20" t="s">
        <v>76</v>
      </c>
      <c r="C28" s="17" t="s">
        <v>11</v>
      </c>
      <c r="D28" s="17">
        <v>45</v>
      </c>
      <c r="E28" s="17" t="s">
        <v>12</v>
      </c>
      <c r="F28" s="17">
        <v>500</v>
      </c>
      <c r="G28" s="17" t="str">
        <f t="shared" si="0"/>
        <v>HIGH PRICE</v>
      </c>
      <c r="H28" s="17" t="str">
        <f t="shared" si="1"/>
        <v>38</v>
      </c>
      <c r="I28" s="17" t="str">
        <f t="shared" si="2"/>
        <v>JO</v>
      </c>
      <c r="J28" s="17" t="str">
        <f t="shared" si="3"/>
        <v>1JA</v>
      </c>
      <c r="K28" s="21" t="b">
        <f t="shared" si="4"/>
        <v>0</v>
      </c>
    </row>
    <row r="29" spans="1:11" ht="18.75" x14ac:dyDescent="0.3">
      <c r="A29" s="11" t="s">
        <v>113</v>
      </c>
      <c r="B29" s="17" t="s">
        <v>58</v>
      </c>
      <c r="C29" s="17" t="s">
        <v>59</v>
      </c>
      <c r="D29" s="17">
        <v>5</v>
      </c>
      <c r="E29" s="17" t="s">
        <v>12</v>
      </c>
      <c r="F29" s="17">
        <v>8000</v>
      </c>
      <c r="G29" s="17" t="str">
        <f t="shared" si="0"/>
        <v>HIGH PRICE</v>
      </c>
      <c r="H29" s="17" t="str">
        <f t="shared" si="1"/>
        <v>35</v>
      </c>
      <c r="I29" s="17" t="str">
        <f t="shared" si="2"/>
        <v>ID</v>
      </c>
      <c r="J29" s="17" t="str">
        <f t="shared" si="3"/>
        <v>2FE</v>
      </c>
      <c r="K29" s="21" t="b">
        <f t="shared" si="4"/>
        <v>0</v>
      </c>
    </row>
    <row r="30" spans="1:11" ht="18.75" x14ac:dyDescent="0.3">
      <c r="A30" s="11" t="s">
        <v>114</v>
      </c>
      <c r="B30" s="20" t="s">
        <v>77</v>
      </c>
      <c r="C30" s="17" t="s">
        <v>61</v>
      </c>
      <c r="D30" s="17">
        <v>2</v>
      </c>
      <c r="E30" s="20" t="s">
        <v>79</v>
      </c>
      <c r="F30" s="17">
        <v>900</v>
      </c>
      <c r="G30" s="17" t="str">
        <f t="shared" si="0"/>
        <v>HIGH PRICE</v>
      </c>
      <c r="H30" s="17" t="str">
        <f t="shared" si="1"/>
        <v>33</v>
      </c>
      <c r="I30" s="17" t="str">
        <f t="shared" si="2"/>
        <v>JO</v>
      </c>
      <c r="J30" s="17" t="str">
        <f t="shared" si="3"/>
        <v>3MA</v>
      </c>
      <c r="K30" s="21" t="b">
        <f t="shared" si="4"/>
        <v>0</v>
      </c>
    </row>
    <row r="31" spans="1:11" ht="18.75" x14ac:dyDescent="0.3">
      <c r="A31" s="11" t="s">
        <v>115</v>
      </c>
      <c r="B31" s="20" t="s">
        <v>78</v>
      </c>
      <c r="C31" s="17" t="s">
        <v>63</v>
      </c>
      <c r="D31" s="17">
        <v>20</v>
      </c>
      <c r="E31" s="20" t="s">
        <v>80</v>
      </c>
      <c r="F31" s="17">
        <v>450</v>
      </c>
      <c r="G31" s="17" t="str">
        <f t="shared" si="0"/>
        <v>STANDARD PRICE</v>
      </c>
      <c r="H31" s="17" t="str">
        <f t="shared" si="1"/>
        <v>30</v>
      </c>
      <c r="I31" s="17" t="str">
        <f t="shared" si="2"/>
        <v>CI</v>
      </c>
      <c r="J31" s="17" t="str">
        <f t="shared" si="3"/>
        <v>4AP</v>
      </c>
      <c r="K31" s="21" t="b">
        <f t="shared" si="4"/>
        <v>0</v>
      </c>
    </row>
    <row r="32" spans="1:11" x14ac:dyDescent="0.25">
      <c r="C3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27FD-F580-4962-ADE7-E3010AE23344}">
  <dimension ref="A1:K35"/>
  <sheetViews>
    <sheetView topLeftCell="B3" zoomScale="98" zoomScaleNormal="98" workbookViewId="0">
      <selection activeCell="C24" sqref="C24"/>
    </sheetView>
  </sheetViews>
  <sheetFormatPr defaultRowHeight="15" x14ac:dyDescent="0.25"/>
  <cols>
    <col min="1" max="1" width="28.42578125" style="5" bestFit="1" customWidth="1"/>
    <col min="2" max="2" width="35.42578125" style="5" bestFit="1" customWidth="1"/>
    <col min="3" max="3" width="30.5703125" style="5" bestFit="1" customWidth="1"/>
    <col min="4" max="4" width="24.140625" style="5" bestFit="1" customWidth="1"/>
    <col min="5" max="5" width="28.7109375" style="5" bestFit="1" customWidth="1"/>
    <col min="6" max="6" width="16.42578125" style="5" bestFit="1" customWidth="1"/>
    <col min="7" max="7" width="31.42578125" style="5" bestFit="1" customWidth="1"/>
    <col min="8" max="8" width="14.28515625" style="5" bestFit="1" customWidth="1"/>
    <col min="9" max="9" width="34.140625" style="5" bestFit="1" customWidth="1"/>
    <col min="10" max="10" width="19.28515625" style="5" bestFit="1" customWidth="1"/>
    <col min="11" max="11" width="30.85546875" style="5" bestFit="1" customWidth="1"/>
    <col min="12" max="16384" width="9.140625" style="5"/>
  </cols>
  <sheetData>
    <row r="1" spans="1:11" s="4" customFormat="1" ht="23.25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7" t="s">
        <v>65</v>
      </c>
    </row>
    <row r="2" spans="1:11" ht="18.75" x14ac:dyDescent="0.3">
      <c r="A2" s="11" t="s">
        <v>87</v>
      </c>
      <c r="B2" s="11" t="s">
        <v>10</v>
      </c>
      <c r="C2" s="11" t="s">
        <v>11</v>
      </c>
      <c r="D2" s="11">
        <v>20</v>
      </c>
      <c r="E2" s="11" t="s">
        <v>12</v>
      </c>
      <c r="F2" s="11">
        <v>130</v>
      </c>
      <c r="G2" s="11" t="str">
        <f t="shared" ref="G2:G31" si="0">IF(F2&gt;=500,"HIGH PRICE","STANDARD PRICE")</f>
        <v>STANDARD PRICE</v>
      </c>
      <c r="H2" s="11" t="str">
        <f t="shared" ref="H2:H31" si="1">LEFT(A2,2)</f>
        <v>38</v>
      </c>
      <c r="I2" s="11" t="str">
        <f t="shared" ref="I2:I31" si="2">RIGHT(A2,2)</f>
        <v>IN</v>
      </c>
      <c r="J2" s="11" t="str">
        <f t="shared" ref="J2:J31" si="3">MID(A2,4,3)</f>
        <v>1JA</v>
      </c>
      <c r="K2" s="11" t="b">
        <f t="shared" ref="K2:K31" si="4">ISBLANK(F2)</f>
        <v>0</v>
      </c>
    </row>
    <row r="3" spans="1:11" ht="18.75" x14ac:dyDescent="0.3">
      <c r="A3" s="11" t="s">
        <v>86</v>
      </c>
      <c r="B3" s="11" t="s">
        <v>68</v>
      </c>
      <c r="C3" s="11" t="s">
        <v>14</v>
      </c>
      <c r="D3" s="11">
        <v>39</v>
      </c>
      <c r="E3" s="11" t="s">
        <v>15</v>
      </c>
      <c r="F3" s="11">
        <v>600</v>
      </c>
      <c r="G3" s="11" t="str">
        <f t="shared" si="0"/>
        <v>HIGH PRICE</v>
      </c>
      <c r="H3" s="11" t="str">
        <f t="shared" si="1"/>
        <v>35</v>
      </c>
      <c r="I3" s="11" t="str">
        <f t="shared" si="2"/>
        <v>US</v>
      </c>
      <c r="J3" s="11" t="str">
        <f t="shared" si="3"/>
        <v>2FE</v>
      </c>
      <c r="K3" s="11" t="b">
        <f t="shared" si="4"/>
        <v>0</v>
      </c>
    </row>
    <row r="4" spans="1:11" ht="18.75" x14ac:dyDescent="0.3">
      <c r="A4" s="11" t="s">
        <v>88</v>
      </c>
      <c r="B4" s="11" t="s">
        <v>16</v>
      </c>
      <c r="C4" s="11" t="s">
        <v>17</v>
      </c>
      <c r="D4" s="11">
        <v>25</v>
      </c>
      <c r="E4" s="11" t="s">
        <v>12</v>
      </c>
      <c r="F4" s="11">
        <v>2500</v>
      </c>
      <c r="G4" s="11" t="str">
        <f t="shared" si="0"/>
        <v>HIGH PRICE</v>
      </c>
      <c r="H4" s="11" t="str">
        <f t="shared" si="1"/>
        <v>33</v>
      </c>
      <c r="I4" s="11" t="str">
        <f t="shared" si="2"/>
        <v>FR</v>
      </c>
      <c r="J4" s="11" t="str">
        <f t="shared" si="3"/>
        <v>3MA</v>
      </c>
      <c r="K4" s="11" t="b">
        <f t="shared" si="4"/>
        <v>0</v>
      </c>
    </row>
    <row r="5" spans="1:11" ht="18.75" x14ac:dyDescent="0.3">
      <c r="A5" s="11" t="s">
        <v>89</v>
      </c>
      <c r="B5" s="11" t="s">
        <v>18</v>
      </c>
      <c r="C5" s="11" t="s">
        <v>19</v>
      </c>
      <c r="D5" s="11">
        <v>40</v>
      </c>
      <c r="E5" s="11" t="s">
        <v>20</v>
      </c>
      <c r="F5" s="11">
        <v>160</v>
      </c>
      <c r="G5" s="11" t="str">
        <f t="shared" si="0"/>
        <v>STANDARD PRICE</v>
      </c>
      <c r="H5" s="11" t="str">
        <f t="shared" si="1"/>
        <v>30</v>
      </c>
      <c r="I5" s="11" t="str">
        <f t="shared" si="2"/>
        <v>ER</v>
      </c>
      <c r="J5" s="11" t="str">
        <f t="shared" si="3"/>
        <v>4AP</v>
      </c>
      <c r="K5" s="11" t="b">
        <f t="shared" si="4"/>
        <v>0</v>
      </c>
    </row>
    <row r="6" spans="1:11" ht="18.75" x14ac:dyDescent="0.3">
      <c r="A6" s="11" t="s">
        <v>90</v>
      </c>
      <c r="B6" s="11" t="s">
        <v>21</v>
      </c>
      <c r="C6" s="11" t="s">
        <v>11</v>
      </c>
      <c r="D6" s="11">
        <v>50</v>
      </c>
      <c r="E6" s="11" t="s">
        <v>12</v>
      </c>
      <c r="F6" s="11">
        <v>45000</v>
      </c>
      <c r="G6" s="11" t="str">
        <f t="shared" si="0"/>
        <v>HIGH PRICE</v>
      </c>
      <c r="H6" s="11" t="str">
        <f t="shared" si="1"/>
        <v>46</v>
      </c>
      <c r="I6" s="11" t="str">
        <f t="shared" si="2"/>
        <v>IS</v>
      </c>
      <c r="J6" s="11" t="str">
        <f t="shared" si="3"/>
        <v>5MA</v>
      </c>
      <c r="K6" s="11" t="b">
        <f t="shared" si="4"/>
        <v>0</v>
      </c>
    </row>
    <row r="7" spans="1:11" ht="18.75" x14ac:dyDescent="0.3">
      <c r="A7" s="11" t="s">
        <v>91</v>
      </c>
      <c r="B7" s="11" t="s">
        <v>22</v>
      </c>
      <c r="C7" s="11" t="s">
        <v>23</v>
      </c>
      <c r="D7" s="11">
        <v>20</v>
      </c>
      <c r="E7" s="11" t="s">
        <v>12</v>
      </c>
      <c r="F7" s="11">
        <v>40000</v>
      </c>
      <c r="G7" s="11" t="str">
        <f t="shared" si="0"/>
        <v>HIGH PRICE</v>
      </c>
      <c r="H7" s="11" t="str">
        <f t="shared" si="1"/>
        <v>23</v>
      </c>
      <c r="I7" s="11" t="str">
        <f t="shared" si="2"/>
        <v>IN</v>
      </c>
      <c r="J7" s="11" t="str">
        <f t="shared" si="3"/>
        <v>6JU</v>
      </c>
      <c r="K7" s="11" t="b">
        <f t="shared" si="4"/>
        <v>0</v>
      </c>
    </row>
    <row r="8" spans="1:11" ht="18.75" x14ac:dyDescent="0.3">
      <c r="A8" s="11" t="s">
        <v>92</v>
      </c>
      <c r="B8" s="11" t="s">
        <v>69</v>
      </c>
      <c r="C8" s="11" t="s">
        <v>25</v>
      </c>
      <c r="D8" s="11">
        <v>25</v>
      </c>
      <c r="E8" s="11" t="s">
        <v>15</v>
      </c>
      <c r="F8" s="11">
        <v>3600</v>
      </c>
      <c r="G8" s="11" t="str">
        <f t="shared" si="0"/>
        <v>HIGH PRICE</v>
      </c>
      <c r="H8" s="11" t="str">
        <f t="shared" si="1"/>
        <v>23</v>
      </c>
      <c r="I8" s="11" t="str">
        <f t="shared" si="2"/>
        <v>EU</v>
      </c>
      <c r="J8" s="11" t="str">
        <f t="shared" si="3"/>
        <v>7JU</v>
      </c>
      <c r="K8" s="11" t="b">
        <f t="shared" si="4"/>
        <v>0</v>
      </c>
    </row>
    <row r="9" spans="1:11" ht="18.75" x14ac:dyDescent="0.3">
      <c r="A9" s="11" t="s">
        <v>93</v>
      </c>
      <c r="B9" s="11" t="s">
        <v>26</v>
      </c>
      <c r="C9" s="11" t="s">
        <v>27</v>
      </c>
      <c r="D9" s="11">
        <v>11</v>
      </c>
      <c r="E9" s="11" t="s">
        <v>12</v>
      </c>
      <c r="F9" s="11">
        <v>54000</v>
      </c>
      <c r="G9" s="11" t="str">
        <f t="shared" si="0"/>
        <v>HIGH PRICE</v>
      </c>
      <c r="H9" s="11" t="str">
        <f t="shared" si="1"/>
        <v>92</v>
      </c>
      <c r="I9" s="11" t="str">
        <f t="shared" si="2"/>
        <v>HU</v>
      </c>
      <c r="J9" s="11" t="str">
        <f t="shared" si="3"/>
        <v>8AU</v>
      </c>
      <c r="K9" s="11" t="b">
        <f t="shared" si="4"/>
        <v>0</v>
      </c>
    </row>
    <row r="10" spans="1:11" ht="18.75" x14ac:dyDescent="0.3">
      <c r="A10" s="11" t="s">
        <v>94</v>
      </c>
      <c r="B10" s="11" t="s">
        <v>28</v>
      </c>
      <c r="C10" s="11" t="s">
        <v>19</v>
      </c>
      <c r="D10" s="11">
        <v>29</v>
      </c>
      <c r="E10" s="11" t="s">
        <v>20</v>
      </c>
      <c r="F10" s="11">
        <v>300</v>
      </c>
      <c r="G10" s="11" t="str">
        <f t="shared" si="0"/>
        <v>STANDARD PRICE</v>
      </c>
      <c r="H10" s="11" t="str">
        <f t="shared" si="1"/>
        <v>34</v>
      </c>
      <c r="I10" s="11" t="str">
        <f t="shared" si="2"/>
        <v>CI</v>
      </c>
      <c r="J10" s="11" t="str">
        <f t="shared" si="3"/>
        <v>9SE</v>
      </c>
      <c r="K10" s="11" t="b">
        <f t="shared" si="4"/>
        <v>0</v>
      </c>
    </row>
    <row r="11" spans="1:11" ht="18.75" x14ac:dyDescent="0.3">
      <c r="A11" s="11" t="s">
        <v>95</v>
      </c>
      <c r="B11" s="11" t="s">
        <v>70</v>
      </c>
      <c r="C11" s="11" t="s">
        <v>30</v>
      </c>
      <c r="D11" s="11">
        <v>30</v>
      </c>
      <c r="E11" s="11" t="s">
        <v>12</v>
      </c>
      <c r="F11" s="11">
        <v>12000</v>
      </c>
      <c r="G11" s="11" t="str">
        <f t="shared" si="0"/>
        <v>HIGH PRICE</v>
      </c>
      <c r="H11" s="11" t="str">
        <f t="shared" si="1"/>
        <v>56</v>
      </c>
      <c r="I11" s="11" t="str">
        <f t="shared" si="2"/>
        <v>FR</v>
      </c>
      <c r="J11" s="11" t="str">
        <f t="shared" si="3"/>
        <v>2OC</v>
      </c>
      <c r="K11" s="11" t="b">
        <f t="shared" si="4"/>
        <v>0</v>
      </c>
    </row>
    <row r="12" spans="1:11" ht="18.75" x14ac:dyDescent="0.3">
      <c r="A12" s="11" t="s">
        <v>96</v>
      </c>
      <c r="B12" s="11" t="s">
        <v>31</v>
      </c>
      <c r="C12" s="11" t="s">
        <v>32</v>
      </c>
      <c r="D12" s="11">
        <v>5</v>
      </c>
      <c r="E12" s="11" t="s">
        <v>79</v>
      </c>
      <c r="F12" s="11">
        <v>400</v>
      </c>
      <c r="G12" s="11" t="str">
        <f t="shared" si="0"/>
        <v>STANDARD PRICE</v>
      </c>
      <c r="H12" s="11" t="str">
        <f t="shared" si="1"/>
        <v>23</v>
      </c>
      <c r="I12" s="11" t="str">
        <f t="shared" si="2"/>
        <v>US</v>
      </c>
      <c r="J12" s="11" t="str">
        <f t="shared" si="3"/>
        <v>1NO</v>
      </c>
      <c r="K12" s="11" t="b">
        <f t="shared" si="4"/>
        <v>0</v>
      </c>
    </row>
    <row r="13" spans="1:11" ht="18.75" x14ac:dyDescent="0.3">
      <c r="A13" s="11" t="s">
        <v>97</v>
      </c>
      <c r="B13" s="11" t="s">
        <v>34</v>
      </c>
      <c r="C13" s="11" t="s">
        <v>19</v>
      </c>
      <c r="D13" s="11">
        <v>30</v>
      </c>
      <c r="E13" s="11" t="s">
        <v>20</v>
      </c>
      <c r="F13" s="11">
        <v>40</v>
      </c>
      <c r="G13" s="11" t="str">
        <f t="shared" si="0"/>
        <v>STANDARD PRICE</v>
      </c>
      <c r="H13" s="11" t="str">
        <f t="shared" si="1"/>
        <v>89</v>
      </c>
      <c r="I13" s="11" t="str">
        <f t="shared" si="2"/>
        <v>IN</v>
      </c>
      <c r="J13" s="11" t="str">
        <f t="shared" si="3"/>
        <v>2DE</v>
      </c>
      <c r="K13" s="11" t="b">
        <f t="shared" si="4"/>
        <v>0</v>
      </c>
    </row>
    <row r="14" spans="1:11" ht="18.75" x14ac:dyDescent="0.3">
      <c r="A14" s="11" t="s">
        <v>98</v>
      </c>
      <c r="B14" s="11" t="s">
        <v>35</v>
      </c>
      <c r="C14" s="11" t="s">
        <v>32</v>
      </c>
      <c r="D14" s="11">
        <v>3</v>
      </c>
      <c r="E14" s="11" t="s">
        <v>79</v>
      </c>
      <c r="F14" s="11">
        <v>220</v>
      </c>
      <c r="G14" s="11" t="str">
        <f t="shared" si="0"/>
        <v>STANDARD PRICE</v>
      </c>
      <c r="H14" s="11" t="str">
        <f t="shared" si="1"/>
        <v>38</v>
      </c>
      <c r="I14" s="11" t="str">
        <f t="shared" si="2"/>
        <v>JO</v>
      </c>
      <c r="J14" s="11" t="str">
        <f t="shared" si="3"/>
        <v>1JA</v>
      </c>
      <c r="K14" s="11" t="b">
        <f t="shared" si="4"/>
        <v>0</v>
      </c>
    </row>
    <row r="15" spans="1:11" ht="18.75" x14ac:dyDescent="0.3">
      <c r="A15" s="11" t="s">
        <v>99</v>
      </c>
      <c r="B15" s="11" t="s">
        <v>36</v>
      </c>
      <c r="C15" s="11" t="s">
        <v>37</v>
      </c>
      <c r="D15" s="11">
        <v>20</v>
      </c>
      <c r="E15" s="11" t="s">
        <v>12</v>
      </c>
      <c r="F15" s="11">
        <v>130</v>
      </c>
      <c r="G15" s="11" t="str">
        <f t="shared" si="0"/>
        <v>STANDARD PRICE</v>
      </c>
      <c r="H15" s="11" t="str">
        <f t="shared" si="1"/>
        <v>35</v>
      </c>
      <c r="I15" s="11" t="str">
        <f t="shared" si="2"/>
        <v>KE</v>
      </c>
      <c r="J15" s="11" t="str">
        <f t="shared" si="3"/>
        <v>2FE</v>
      </c>
      <c r="K15" s="11" t="b">
        <f t="shared" si="4"/>
        <v>0</v>
      </c>
    </row>
    <row r="16" spans="1:11" ht="18.75" x14ac:dyDescent="0.3">
      <c r="A16" s="11" t="s">
        <v>100</v>
      </c>
      <c r="B16" s="11" t="s">
        <v>71</v>
      </c>
      <c r="C16" s="11" t="s">
        <v>39</v>
      </c>
      <c r="D16" s="11">
        <v>50</v>
      </c>
      <c r="E16" s="11" t="s">
        <v>15</v>
      </c>
      <c r="F16" s="11">
        <v>1500</v>
      </c>
      <c r="G16" s="11" t="str">
        <f t="shared" si="0"/>
        <v>HIGH PRICE</v>
      </c>
      <c r="H16" s="11" t="str">
        <f t="shared" si="1"/>
        <v>33</v>
      </c>
      <c r="I16" s="11" t="str">
        <f t="shared" si="2"/>
        <v>FR</v>
      </c>
      <c r="J16" s="11" t="str">
        <f t="shared" si="3"/>
        <v>3MA</v>
      </c>
      <c r="K16" s="11" t="b">
        <f t="shared" si="4"/>
        <v>0</v>
      </c>
    </row>
    <row r="17" spans="1:11" ht="18.75" x14ac:dyDescent="0.3">
      <c r="A17" s="11" t="s">
        <v>101</v>
      </c>
      <c r="B17" s="11" t="s">
        <v>40</v>
      </c>
      <c r="C17" s="11" t="s">
        <v>41</v>
      </c>
      <c r="D17" s="11">
        <v>1</v>
      </c>
      <c r="E17" s="11" t="s">
        <v>79</v>
      </c>
      <c r="F17" s="11">
        <v>800</v>
      </c>
      <c r="G17" s="11" t="str">
        <f t="shared" si="0"/>
        <v>HIGH PRICE</v>
      </c>
      <c r="H17" s="11" t="str">
        <f t="shared" si="1"/>
        <v>78</v>
      </c>
      <c r="I17" s="11" t="str">
        <f t="shared" si="2"/>
        <v>IE</v>
      </c>
      <c r="J17" s="11" t="str">
        <f t="shared" si="3"/>
        <v>4AP</v>
      </c>
      <c r="K17" s="11" t="b">
        <f t="shared" si="4"/>
        <v>0</v>
      </c>
    </row>
    <row r="18" spans="1:11" ht="18.75" x14ac:dyDescent="0.3">
      <c r="A18" s="11" t="s">
        <v>102</v>
      </c>
      <c r="B18" s="11" t="s">
        <v>42</v>
      </c>
      <c r="C18" s="11" t="s">
        <v>43</v>
      </c>
      <c r="D18" s="11">
        <v>23</v>
      </c>
      <c r="E18" s="11" t="s">
        <v>12</v>
      </c>
      <c r="F18" s="11">
        <v>600</v>
      </c>
      <c r="G18" s="11" t="str">
        <f t="shared" si="0"/>
        <v>HIGH PRICE</v>
      </c>
      <c r="H18" s="11" t="str">
        <f t="shared" si="1"/>
        <v>46</v>
      </c>
      <c r="I18" s="11" t="str">
        <f t="shared" si="2"/>
        <v>IN</v>
      </c>
      <c r="J18" s="11" t="str">
        <f t="shared" si="3"/>
        <v>5MA</v>
      </c>
      <c r="K18" s="11" t="b">
        <f t="shared" si="4"/>
        <v>0</v>
      </c>
    </row>
    <row r="19" spans="1:11" ht="18.75" x14ac:dyDescent="0.3">
      <c r="A19" s="11" t="s">
        <v>103</v>
      </c>
      <c r="B19" s="11" t="s">
        <v>72</v>
      </c>
      <c r="C19" s="11" t="s">
        <v>45</v>
      </c>
      <c r="D19" s="11">
        <v>23</v>
      </c>
      <c r="E19" s="11" t="s">
        <v>15</v>
      </c>
      <c r="F19" s="11">
        <v>2250</v>
      </c>
      <c r="G19" s="11" t="str">
        <f t="shared" si="0"/>
        <v>HIGH PRICE</v>
      </c>
      <c r="H19" s="11" t="str">
        <f t="shared" si="1"/>
        <v>23</v>
      </c>
      <c r="I19" s="11" t="str">
        <f t="shared" si="2"/>
        <v>HT</v>
      </c>
      <c r="J19" s="11" t="str">
        <f t="shared" si="3"/>
        <v>6JU</v>
      </c>
      <c r="K19" s="11" t="b">
        <f t="shared" si="4"/>
        <v>0</v>
      </c>
    </row>
    <row r="20" spans="1:11" ht="18.75" x14ac:dyDescent="0.3">
      <c r="A20" s="11" t="s">
        <v>104</v>
      </c>
      <c r="B20" s="11" t="s">
        <v>46</v>
      </c>
      <c r="C20" s="11" t="s">
        <v>47</v>
      </c>
      <c r="D20" s="11">
        <v>3</v>
      </c>
      <c r="E20" s="11" t="s">
        <v>79</v>
      </c>
      <c r="F20" s="11">
        <v>180</v>
      </c>
      <c r="G20" s="11" t="str">
        <f t="shared" si="0"/>
        <v>STANDARD PRICE</v>
      </c>
      <c r="H20" s="11" t="str">
        <f t="shared" si="1"/>
        <v>23</v>
      </c>
      <c r="I20" s="11" t="str">
        <f t="shared" si="2"/>
        <v>CI</v>
      </c>
      <c r="J20" s="11" t="str">
        <f t="shared" si="3"/>
        <v>7JU</v>
      </c>
      <c r="K20" s="11" t="b">
        <f t="shared" si="4"/>
        <v>0</v>
      </c>
    </row>
    <row r="21" spans="1:11" ht="18.75" x14ac:dyDescent="0.3">
      <c r="A21" s="11" t="s">
        <v>105</v>
      </c>
      <c r="B21" s="11" t="s">
        <v>48</v>
      </c>
      <c r="C21" s="11" t="s">
        <v>49</v>
      </c>
      <c r="D21" s="11">
        <v>10</v>
      </c>
      <c r="E21" s="11" t="s">
        <v>12</v>
      </c>
      <c r="F21" s="11">
        <v>3000</v>
      </c>
      <c r="G21" s="11" t="str">
        <f t="shared" si="0"/>
        <v>HIGH PRICE</v>
      </c>
      <c r="H21" s="11" t="str">
        <f t="shared" si="1"/>
        <v>92</v>
      </c>
      <c r="I21" s="11" t="str">
        <f t="shared" si="2"/>
        <v>ID</v>
      </c>
      <c r="J21" s="11" t="str">
        <f t="shared" si="3"/>
        <v>8AU</v>
      </c>
      <c r="K21" s="11" t="b">
        <f t="shared" si="4"/>
        <v>0</v>
      </c>
    </row>
    <row r="22" spans="1:11" ht="18.75" x14ac:dyDescent="0.3">
      <c r="A22" s="11" t="s">
        <v>106</v>
      </c>
      <c r="B22" s="11" t="s">
        <v>73</v>
      </c>
      <c r="C22" s="11" t="s">
        <v>45</v>
      </c>
      <c r="D22" s="11">
        <v>13</v>
      </c>
      <c r="E22" s="11" t="s">
        <v>15</v>
      </c>
      <c r="F22" s="11">
        <v>2500</v>
      </c>
      <c r="G22" s="11" t="str">
        <f t="shared" si="0"/>
        <v>HIGH PRICE</v>
      </c>
      <c r="H22" s="11" t="str">
        <f t="shared" si="1"/>
        <v>34</v>
      </c>
      <c r="I22" s="11" t="str">
        <f t="shared" si="2"/>
        <v>IL</v>
      </c>
      <c r="J22" s="11" t="str">
        <f t="shared" si="3"/>
        <v>9SE</v>
      </c>
      <c r="K22" s="11" t="b">
        <f t="shared" si="4"/>
        <v>0</v>
      </c>
    </row>
    <row r="23" spans="1:11" ht="18.75" x14ac:dyDescent="0.3">
      <c r="A23" s="11" t="s">
        <v>107</v>
      </c>
      <c r="B23" s="11" t="s">
        <v>51</v>
      </c>
      <c r="C23" s="11" t="s">
        <v>52</v>
      </c>
      <c r="D23" s="11">
        <v>20</v>
      </c>
      <c r="E23" s="11" t="s">
        <v>20</v>
      </c>
      <c r="F23" s="11">
        <v>320</v>
      </c>
      <c r="G23" s="11" t="str">
        <f t="shared" si="0"/>
        <v>STANDARD PRICE</v>
      </c>
      <c r="H23" s="11" t="str">
        <f t="shared" si="1"/>
        <v>53</v>
      </c>
      <c r="I23" s="11" t="str">
        <f t="shared" si="2"/>
        <v>EU</v>
      </c>
      <c r="J23" s="11" t="str">
        <f t="shared" si="3"/>
        <v>4OC</v>
      </c>
      <c r="K23" s="11" t="b">
        <f t="shared" si="4"/>
        <v>0</v>
      </c>
    </row>
    <row r="24" spans="1:11" ht="18.75" x14ac:dyDescent="0.3">
      <c r="A24" s="11" t="s">
        <v>108</v>
      </c>
      <c r="B24" s="11" t="s">
        <v>53</v>
      </c>
      <c r="C24" s="11" t="s">
        <v>49</v>
      </c>
      <c r="D24" s="11">
        <v>5</v>
      </c>
      <c r="E24" s="11" t="s">
        <v>12</v>
      </c>
      <c r="F24" s="11">
        <v>7000</v>
      </c>
      <c r="G24" s="11" t="str">
        <f t="shared" si="0"/>
        <v>HIGH PRICE</v>
      </c>
      <c r="H24" s="11" t="str">
        <f t="shared" si="1"/>
        <v>21</v>
      </c>
      <c r="I24" s="11" t="str">
        <f t="shared" si="2"/>
        <v>CI</v>
      </c>
      <c r="J24" s="11" t="str">
        <f t="shared" si="3"/>
        <v>1NO</v>
      </c>
      <c r="K24" s="11" t="b">
        <f t="shared" si="4"/>
        <v>0</v>
      </c>
    </row>
    <row r="25" spans="1:11" ht="18.75" x14ac:dyDescent="0.3">
      <c r="A25" s="11" t="s">
        <v>109</v>
      </c>
      <c r="B25" s="11" t="s">
        <v>74</v>
      </c>
      <c r="C25" s="11" t="s">
        <v>55</v>
      </c>
      <c r="D25" s="11">
        <v>3</v>
      </c>
      <c r="E25" s="11" t="s">
        <v>79</v>
      </c>
      <c r="F25" s="11">
        <v>30</v>
      </c>
      <c r="G25" s="11" t="str">
        <f t="shared" si="0"/>
        <v>STANDARD PRICE</v>
      </c>
      <c r="H25" s="11" t="str">
        <f t="shared" si="1"/>
        <v>80</v>
      </c>
      <c r="I25" s="11" t="str">
        <f t="shared" si="2"/>
        <v>IR</v>
      </c>
      <c r="J25" s="11" t="str">
        <f t="shared" si="3"/>
        <v>2DE</v>
      </c>
      <c r="K25" s="11" t="b">
        <f t="shared" si="4"/>
        <v>0</v>
      </c>
    </row>
    <row r="26" spans="1:11" ht="18.75" x14ac:dyDescent="0.3">
      <c r="A26" s="11" t="s">
        <v>110</v>
      </c>
      <c r="B26" s="11" t="s">
        <v>75</v>
      </c>
      <c r="C26" s="11" t="s">
        <v>52</v>
      </c>
      <c r="D26" s="11">
        <v>3</v>
      </c>
      <c r="E26" s="11" t="s">
        <v>20</v>
      </c>
      <c r="F26" s="11">
        <v>60</v>
      </c>
      <c r="G26" s="11" t="str">
        <f t="shared" si="0"/>
        <v>STANDARD PRICE</v>
      </c>
      <c r="H26" s="11" t="str">
        <f t="shared" si="1"/>
        <v>38</v>
      </c>
      <c r="I26" s="11" t="str">
        <f t="shared" si="2"/>
        <v>ID</v>
      </c>
      <c r="J26" s="11" t="str">
        <f t="shared" si="3"/>
        <v>1JA</v>
      </c>
      <c r="K26" s="11" t="b">
        <f t="shared" si="4"/>
        <v>0</v>
      </c>
    </row>
    <row r="27" spans="1:11" ht="18.75" x14ac:dyDescent="0.3">
      <c r="A27" s="11" t="s">
        <v>111</v>
      </c>
      <c r="B27" s="11" t="s">
        <v>31</v>
      </c>
      <c r="C27" s="11" t="s">
        <v>55</v>
      </c>
      <c r="D27" s="11">
        <v>7</v>
      </c>
      <c r="E27" s="11" t="s">
        <v>79</v>
      </c>
      <c r="F27" s="11">
        <v>300</v>
      </c>
      <c r="G27" s="11" t="str">
        <f t="shared" si="0"/>
        <v>STANDARD PRICE</v>
      </c>
      <c r="H27" s="11" t="str">
        <f t="shared" si="1"/>
        <v>35</v>
      </c>
      <c r="I27" s="11" t="str">
        <f t="shared" si="2"/>
        <v>IM</v>
      </c>
      <c r="J27" s="11" t="str">
        <f t="shared" si="3"/>
        <v>2FE</v>
      </c>
      <c r="K27" s="11" t="b">
        <f t="shared" si="4"/>
        <v>0</v>
      </c>
    </row>
    <row r="28" spans="1:11" ht="18.75" x14ac:dyDescent="0.3">
      <c r="A28" s="11" t="s">
        <v>112</v>
      </c>
      <c r="B28" s="11" t="s">
        <v>76</v>
      </c>
      <c r="C28" s="11" t="s">
        <v>11</v>
      </c>
      <c r="D28" s="11">
        <v>45</v>
      </c>
      <c r="E28" s="11" t="s">
        <v>12</v>
      </c>
      <c r="F28" s="11">
        <v>500</v>
      </c>
      <c r="G28" s="11" t="str">
        <f t="shared" si="0"/>
        <v>HIGH PRICE</v>
      </c>
      <c r="H28" s="11" t="str">
        <f t="shared" si="1"/>
        <v>38</v>
      </c>
      <c r="I28" s="11" t="str">
        <f t="shared" si="2"/>
        <v>JO</v>
      </c>
      <c r="J28" s="11" t="str">
        <f t="shared" si="3"/>
        <v>1JA</v>
      </c>
      <c r="K28" s="11" t="b">
        <f t="shared" si="4"/>
        <v>0</v>
      </c>
    </row>
    <row r="29" spans="1:11" ht="18.75" x14ac:dyDescent="0.3">
      <c r="A29" s="11" t="s">
        <v>113</v>
      </c>
      <c r="B29" s="11" t="s">
        <v>58</v>
      </c>
      <c r="C29" s="11" t="s">
        <v>59</v>
      </c>
      <c r="D29" s="11">
        <v>5</v>
      </c>
      <c r="E29" s="11" t="s">
        <v>12</v>
      </c>
      <c r="F29" s="11">
        <v>8000</v>
      </c>
      <c r="G29" s="11" t="str">
        <f t="shared" si="0"/>
        <v>HIGH PRICE</v>
      </c>
      <c r="H29" s="11" t="str">
        <f t="shared" si="1"/>
        <v>35</v>
      </c>
      <c r="I29" s="11" t="str">
        <f t="shared" si="2"/>
        <v>ID</v>
      </c>
      <c r="J29" s="11" t="str">
        <f t="shared" si="3"/>
        <v>2FE</v>
      </c>
      <c r="K29" s="11" t="b">
        <f t="shared" si="4"/>
        <v>0</v>
      </c>
    </row>
    <row r="30" spans="1:11" ht="18.75" x14ac:dyDescent="0.3">
      <c r="A30" s="11" t="s">
        <v>114</v>
      </c>
      <c r="B30" s="11" t="s">
        <v>77</v>
      </c>
      <c r="C30" s="11" t="s">
        <v>61</v>
      </c>
      <c r="D30" s="11">
        <v>2</v>
      </c>
      <c r="E30" s="11" t="s">
        <v>79</v>
      </c>
      <c r="F30" s="11">
        <v>900</v>
      </c>
      <c r="G30" s="11" t="str">
        <f t="shared" si="0"/>
        <v>HIGH PRICE</v>
      </c>
      <c r="H30" s="11" t="str">
        <f t="shared" si="1"/>
        <v>33</v>
      </c>
      <c r="I30" s="11" t="str">
        <f t="shared" si="2"/>
        <v>JO</v>
      </c>
      <c r="J30" s="11" t="str">
        <f t="shared" si="3"/>
        <v>3MA</v>
      </c>
      <c r="K30" s="11" t="b">
        <f t="shared" si="4"/>
        <v>0</v>
      </c>
    </row>
    <row r="31" spans="1:11" ht="18.75" x14ac:dyDescent="0.3">
      <c r="A31" s="11" t="s">
        <v>115</v>
      </c>
      <c r="B31" s="11" t="s">
        <v>78</v>
      </c>
      <c r="C31" s="11" t="s">
        <v>63</v>
      </c>
      <c r="D31" s="11">
        <v>20</v>
      </c>
      <c r="E31" s="11" t="s">
        <v>80</v>
      </c>
      <c r="F31" s="11">
        <v>450</v>
      </c>
      <c r="G31" s="11" t="str">
        <f t="shared" si="0"/>
        <v>STANDARD PRICE</v>
      </c>
      <c r="H31" s="11" t="str">
        <f t="shared" si="1"/>
        <v>30</v>
      </c>
      <c r="I31" s="11" t="str">
        <f t="shared" si="2"/>
        <v>CI</v>
      </c>
      <c r="J31" s="11" t="str">
        <f t="shared" si="3"/>
        <v>4AP</v>
      </c>
      <c r="K31" s="11" t="b">
        <f t="shared" si="4"/>
        <v>0</v>
      </c>
    </row>
    <row r="32" spans="1:11" ht="15.75" x14ac:dyDescent="0.25">
      <c r="C32"/>
    </row>
    <row r="35" spans="1:2" ht="21" x14ac:dyDescent="0.35">
      <c r="A35" s="9" t="s">
        <v>82</v>
      </c>
      <c r="B35" s="9" t="s">
        <v>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35EE-48CA-43B8-97E3-491F786288EB}">
  <dimension ref="A1:N33"/>
  <sheetViews>
    <sheetView topLeftCell="B1" zoomScale="98" zoomScaleNormal="98" workbookViewId="0">
      <selection activeCell="N37" sqref="N37"/>
    </sheetView>
  </sheetViews>
  <sheetFormatPr defaultRowHeight="18.75" x14ac:dyDescent="0.3"/>
  <cols>
    <col min="1" max="1" width="28.42578125" style="10" bestFit="1" customWidth="1"/>
    <col min="2" max="2" width="35.42578125" style="10" bestFit="1" customWidth="1"/>
    <col min="3" max="3" width="30.5703125" style="10" bestFit="1" customWidth="1"/>
    <col min="4" max="4" width="24.140625" style="10" bestFit="1" customWidth="1"/>
    <col min="5" max="5" width="28.7109375" style="10" bestFit="1" customWidth="1"/>
    <col min="6" max="6" width="16.42578125" style="10" bestFit="1" customWidth="1"/>
    <col min="7" max="7" width="29.85546875" style="10" bestFit="1" customWidth="1"/>
    <col min="8" max="8" width="13.140625" style="10" bestFit="1" customWidth="1"/>
    <col min="9" max="9" width="34.140625" style="10" bestFit="1" customWidth="1"/>
    <col min="10" max="10" width="19.28515625" style="10" bestFit="1" customWidth="1"/>
    <col min="11" max="11" width="30.85546875" style="10" bestFit="1" customWidth="1"/>
    <col min="12" max="12" width="52.42578125" style="10" bestFit="1" customWidth="1"/>
    <col min="13" max="13" width="38.140625" style="10" bestFit="1" customWidth="1"/>
    <col min="14" max="14" width="45.85546875" style="10" bestFit="1" customWidth="1"/>
    <col min="15" max="16384" width="9.140625" style="10"/>
  </cols>
  <sheetData>
    <row r="1" spans="1:14" x14ac:dyDescent="0.3">
      <c r="A1" s="30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65</v>
      </c>
      <c r="L1" s="32" t="s">
        <v>83</v>
      </c>
      <c r="M1" s="32" t="s">
        <v>84</v>
      </c>
      <c r="N1" s="32" t="s">
        <v>85</v>
      </c>
    </row>
    <row r="2" spans="1:14" x14ac:dyDescent="0.3">
      <c r="A2" s="11" t="s">
        <v>87</v>
      </c>
      <c r="B2" s="11" t="s">
        <v>10</v>
      </c>
      <c r="C2" s="11" t="s">
        <v>11</v>
      </c>
      <c r="D2" s="11">
        <v>20</v>
      </c>
      <c r="E2" s="11" t="s">
        <v>12</v>
      </c>
      <c r="F2" s="11">
        <v>130</v>
      </c>
      <c r="G2" s="11" t="str">
        <f t="shared" ref="G2:G31" si="0">IF(F2&gt;=500,"HIGH PRICE","STANDARD PRICE")</f>
        <v>STANDARD PRICE</v>
      </c>
      <c r="H2" s="11" t="str">
        <f t="shared" ref="H2:H31" si="1">LEFT(A2,2)</f>
        <v>38</v>
      </c>
      <c r="I2" s="11" t="str">
        <f t="shared" ref="I2:I31" si="2">RIGHT(A2,2)</f>
        <v>IN</v>
      </c>
      <c r="J2" s="11" t="str">
        <f t="shared" ref="J2:J31" si="3">MID(A2,4,3)</f>
        <v>1JA</v>
      </c>
      <c r="K2" s="11" t="b">
        <f t="shared" ref="K2:K31" si="4">ISBLANK(F2)</f>
        <v>0</v>
      </c>
      <c r="L2" s="11" t="str">
        <f t="shared" ref="L2:L31" si="5">MID(A2,3,6)</f>
        <v>-1JAN2</v>
      </c>
      <c r="M2" s="11" t="str">
        <f t="shared" ref="M2:M31" si="6">LEFT(A2,2)</f>
        <v>38</v>
      </c>
      <c r="N2" s="11" t="str">
        <f t="shared" ref="N2:N31" si="7">CONCATENATE(B2," (",C2,")")</f>
        <v>Keyboard (Microsoft)</v>
      </c>
    </row>
    <row r="3" spans="1:14" x14ac:dyDescent="0.3">
      <c r="A3" s="11" t="s">
        <v>86</v>
      </c>
      <c r="B3" s="11" t="s">
        <v>68</v>
      </c>
      <c r="C3" s="11" t="s">
        <v>14</v>
      </c>
      <c r="D3" s="11">
        <v>39</v>
      </c>
      <c r="E3" s="11" t="s">
        <v>15</v>
      </c>
      <c r="F3" s="11">
        <v>600</v>
      </c>
      <c r="G3" s="11" t="str">
        <f t="shared" si="0"/>
        <v>HIGH PRICE</v>
      </c>
      <c r="H3" s="11" t="str">
        <f t="shared" si="1"/>
        <v>35</v>
      </c>
      <c r="I3" s="11" t="str">
        <f t="shared" si="2"/>
        <v>US</v>
      </c>
      <c r="J3" s="11" t="str">
        <f t="shared" si="3"/>
        <v>2FE</v>
      </c>
      <c r="K3" s="11" t="b">
        <f t="shared" si="4"/>
        <v>0</v>
      </c>
      <c r="L3" s="11" t="str">
        <f t="shared" si="5"/>
        <v>-2FEB2</v>
      </c>
      <c r="M3" s="11" t="str">
        <f t="shared" si="6"/>
        <v>35</v>
      </c>
      <c r="N3" s="11" t="str">
        <f t="shared" si="7"/>
        <v>Lab Chair (Lotus)</v>
      </c>
    </row>
    <row r="4" spans="1:14" x14ac:dyDescent="0.3">
      <c r="A4" s="11" t="s">
        <v>88</v>
      </c>
      <c r="B4" s="11" t="s">
        <v>16</v>
      </c>
      <c r="C4" s="11" t="s">
        <v>17</v>
      </c>
      <c r="D4" s="11">
        <v>25</v>
      </c>
      <c r="E4" s="11" t="s">
        <v>12</v>
      </c>
      <c r="F4" s="11">
        <v>2500</v>
      </c>
      <c r="G4" s="11" t="str">
        <f t="shared" si="0"/>
        <v>HIGH PRICE</v>
      </c>
      <c r="H4" s="11" t="str">
        <f t="shared" si="1"/>
        <v>33</v>
      </c>
      <c r="I4" s="11" t="str">
        <f t="shared" si="2"/>
        <v>FR</v>
      </c>
      <c r="J4" s="11" t="str">
        <f t="shared" si="3"/>
        <v>3MA</v>
      </c>
      <c r="K4" s="11" t="b">
        <f t="shared" si="4"/>
        <v>0</v>
      </c>
      <c r="L4" s="11" t="str">
        <f t="shared" si="5"/>
        <v>-3MAR2</v>
      </c>
      <c r="M4" s="11" t="str">
        <f t="shared" si="6"/>
        <v>33</v>
      </c>
      <c r="N4" s="11" t="str">
        <f t="shared" si="7"/>
        <v>Monitor (Philips)</v>
      </c>
    </row>
    <row r="5" spans="1:14" x14ac:dyDescent="0.3">
      <c r="A5" s="11" t="s">
        <v>89</v>
      </c>
      <c r="B5" s="11" t="s">
        <v>18</v>
      </c>
      <c r="C5" s="11" t="s">
        <v>19</v>
      </c>
      <c r="D5" s="11">
        <v>40</v>
      </c>
      <c r="E5" s="11" t="s">
        <v>20</v>
      </c>
      <c r="F5" s="11">
        <v>160</v>
      </c>
      <c r="G5" s="11" t="str">
        <f t="shared" si="0"/>
        <v>STANDARD PRICE</v>
      </c>
      <c r="H5" s="11" t="str">
        <f t="shared" si="1"/>
        <v>30</v>
      </c>
      <c r="I5" s="11" t="str">
        <f t="shared" si="2"/>
        <v>ER</v>
      </c>
      <c r="J5" s="11" t="str">
        <f t="shared" si="3"/>
        <v>4AP</v>
      </c>
      <c r="K5" s="11" t="b">
        <f t="shared" si="4"/>
        <v>0</v>
      </c>
      <c r="L5" s="11" t="str">
        <f t="shared" si="5"/>
        <v>-4APR1</v>
      </c>
      <c r="M5" s="11" t="str">
        <f t="shared" si="6"/>
        <v>30</v>
      </c>
      <c r="N5" s="11" t="str">
        <f t="shared" si="7"/>
        <v>Butter (Amul)</v>
      </c>
    </row>
    <row r="6" spans="1:14" x14ac:dyDescent="0.3">
      <c r="A6" s="11" t="s">
        <v>90</v>
      </c>
      <c r="B6" s="11" t="s">
        <v>21</v>
      </c>
      <c r="C6" s="11" t="s">
        <v>11</v>
      </c>
      <c r="D6" s="11">
        <v>50</v>
      </c>
      <c r="E6" s="11" t="s">
        <v>12</v>
      </c>
      <c r="F6" s="11">
        <v>45000</v>
      </c>
      <c r="G6" s="11" t="str">
        <f t="shared" si="0"/>
        <v>HIGH PRICE</v>
      </c>
      <c r="H6" s="11" t="str">
        <f t="shared" si="1"/>
        <v>46</v>
      </c>
      <c r="I6" s="11" t="str">
        <f t="shared" si="2"/>
        <v>IS</v>
      </c>
      <c r="J6" s="11" t="str">
        <f t="shared" si="3"/>
        <v>5MA</v>
      </c>
      <c r="K6" s="11" t="b">
        <f t="shared" si="4"/>
        <v>0</v>
      </c>
      <c r="L6" s="11" t="str">
        <f t="shared" si="5"/>
        <v>-5MAY2</v>
      </c>
      <c r="M6" s="11" t="str">
        <f t="shared" si="6"/>
        <v>46</v>
      </c>
      <c r="N6" s="11" t="str">
        <f t="shared" si="7"/>
        <v>Laptop (Microsoft)</v>
      </c>
    </row>
    <row r="7" spans="1:14" x14ac:dyDescent="0.3">
      <c r="A7" s="11" t="s">
        <v>91</v>
      </c>
      <c r="B7" s="11" t="s">
        <v>22</v>
      </c>
      <c r="C7" s="11" t="s">
        <v>23</v>
      </c>
      <c r="D7" s="11">
        <v>20</v>
      </c>
      <c r="E7" s="11" t="s">
        <v>12</v>
      </c>
      <c r="F7" s="11">
        <v>40000</v>
      </c>
      <c r="G7" s="11" t="str">
        <f t="shared" si="0"/>
        <v>HIGH PRICE</v>
      </c>
      <c r="H7" s="11" t="str">
        <f t="shared" si="1"/>
        <v>23</v>
      </c>
      <c r="I7" s="11" t="str">
        <f t="shared" si="2"/>
        <v>IN</v>
      </c>
      <c r="J7" s="11" t="str">
        <f t="shared" si="3"/>
        <v>6JU</v>
      </c>
      <c r="K7" s="11" t="b">
        <f t="shared" si="4"/>
        <v>0</v>
      </c>
      <c r="L7" s="11" t="str">
        <f t="shared" si="5"/>
        <v>-6JUN2</v>
      </c>
      <c r="M7" s="11" t="str">
        <f t="shared" si="6"/>
        <v>23</v>
      </c>
      <c r="N7" s="11" t="str">
        <f t="shared" si="7"/>
        <v>Smartphone (Lenovo)</v>
      </c>
    </row>
    <row r="8" spans="1:14" x14ac:dyDescent="0.3">
      <c r="A8" s="11" t="s">
        <v>92</v>
      </c>
      <c r="B8" s="11" t="s">
        <v>69</v>
      </c>
      <c r="C8" s="11" t="s">
        <v>25</v>
      </c>
      <c r="D8" s="11">
        <v>25</v>
      </c>
      <c r="E8" s="11" t="s">
        <v>15</v>
      </c>
      <c r="F8" s="11">
        <v>3600</v>
      </c>
      <c r="G8" s="11" t="str">
        <f t="shared" si="0"/>
        <v>HIGH PRICE</v>
      </c>
      <c r="H8" s="11" t="str">
        <f t="shared" si="1"/>
        <v>23</v>
      </c>
      <c r="I8" s="11" t="str">
        <f t="shared" si="2"/>
        <v>EU</v>
      </c>
      <c r="J8" s="11" t="str">
        <f t="shared" si="3"/>
        <v>7JU</v>
      </c>
      <c r="K8" s="11" t="b">
        <f t="shared" si="4"/>
        <v>0</v>
      </c>
      <c r="L8" s="11" t="str">
        <f t="shared" si="5"/>
        <v>-7JUL2</v>
      </c>
      <c r="M8" s="11" t="str">
        <f t="shared" si="6"/>
        <v>23</v>
      </c>
      <c r="N8" s="11" t="str">
        <f t="shared" si="7"/>
        <v>Leather Executive Chair (Cassina)</v>
      </c>
    </row>
    <row r="9" spans="1:14" x14ac:dyDescent="0.3">
      <c r="A9" s="11" t="s">
        <v>93</v>
      </c>
      <c r="B9" s="11" t="s">
        <v>26</v>
      </c>
      <c r="C9" s="11" t="s">
        <v>27</v>
      </c>
      <c r="D9" s="11">
        <v>11</v>
      </c>
      <c r="E9" s="11" t="s">
        <v>12</v>
      </c>
      <c r="F9" s="11">
        <v>54000</v>
      </c>
      <c r="G9" s="11" t="str">
        <f t="shared" si="0"/>
        <v>HIGH PRICE</v>
      </c>
      <c r="H9" s="11" t="str">
        <f t="shared" si="1"/>
        <v>92</v>
      </c>
      <c r="I9" s="11" t="str">
        <f t="shared" si="2"/>
        <v>HU</v>
      </c>
      <c r="J9" s="11" t="str">
        <f t="shared" si="3"/>
        <v>8AU</v>
      </c>
      <c r="K9" s="11" t="b">
        <f t="shared" si="4"/>
        <v>0</v>
      </c>
      <c r="L9" s="11" t="str">
        <f t="shared" si="5"/>
        <v>-8AUG2</v>
      </c>
      <c r="M9" s="11" t="str">
        <f t="shared" si="6"/>
        <v>92</v>
      </c>
      <c r="N9" s="11" t="str">
        <f t="shared" si="7"/>
        <v>Tablet (Bose)</v>
      </c>
    </row>
    <row r="10" spans="1:14" x14ac:dyDescent="0.3">
      <c r="A10" s="11" t="s">
        <v>94</v>
      </c>
      <c r="B10" s="11" t="s">
        <v>28</v>
      </c>
      <c r="C10" s="11" t="s">
        <v>19</v>
      </c>
      <c r="D10" s="11">
        <v>29</v>
      </c>
      <c r="E10" s="11" t="s">
        <v>20</v>
      </c>
      <c r="F10" s="11">
        <v>300</v>
      </c>
      <c r="G10" s="11" t="str">
        <f t="shared" si="0"/>
        <v>STANDARD PRICE</v>
      </c>
      <c r="H10" s="11" t="str">
        <f t="shared" si="1"/>
        <v>34</v>
      </c>
      <c r="I10" s="11" t="str">
        <f t="shared" si="2"/>
        <v>CI</v>
      </c>
      <c r="J10" s="11" t="str">
        <f t="shared" si="3"/>
        <v>9SE</v>
      </c>
      <c r="K10" s="11" t="b">
        <f t="shared" si="4"/>
        <v>0</v>
      </c>
      <c r="L10" s="11" t="str">
        <f t="shared" si="5"/>
        <v>-9SEP2</v>
      </c>
      <c r="M10" s="11" t="str">
        <f t="shared" si="6"/>
        <v>34</v>
      </c>
      <c r="N10" s="11" t="str">
        <f t="shared" si="7"/>
        <v>Custard (Amul)</v>
      </c>
    </row>
    <row r="11" spans="1:14" x14ac:dyDescent="0.3">
      <c r="A11" s="11" t="s">
        <v>95</v>
      </c>
      <c r="B11" s="11" t="s">
        <v>70</v>
      </c>
      <c r="C11" s="11" t="s">
        <v>30</v>
      </c>
      <c r="D11" s="11">
        <v>30</v>
      </c>
      <c r="E11" s="11" t="s">
        <v>12</v>
      </c>
      <c r="F11" s="11">
        <v>12000</v>
      </c>
      <c r="G11" s="11" t="str">
        <f t="shared" si="0"/>
        <v>HIGH PRICE</v>
      </c>
      <c r="H11" s="11" t="str">
        <f t="shared" si="1"/>
        <v>56</v>
      </c>
      <c r="I11" s="11" t="str">
        <f t="shared" si="2"/>
        <v>FR</v>
      </c>
      <c r="J11" s="11" t="str">
        <f t="shared" si="3"/>
        <v>2OC</v>
      </c>
      <c r="K11" s="11" t="b">
        <f t="shared" si="4"/>
        <v>0</v>
      </c>
      <c r="L11" s="11" t="str">
        <f t="shared" si="5"/>
        <v>-2OCT2</v>
      </c>
      <c r="M11" s="11" t="str">
        <f t="shared" si="6"/>
        <v>56</v>
      </c>
      <c r="N11" s="11" t="str">
        <f t="shared" si="7"/>
        <v>Desk Chair (Apex)</v>
      </c>
    </row>
    <row r="12" spans="1:14" x14ac:dyDescent="0.3">
      <c r="A12" s="11" t="s">
        <v>96</v>
      </c>
      <c r="B12" s="11" t="s">
        <v>31</v>
      </c>
      <c r="C12" s="11" t="s">
        <v>32</v>
      </c>
      <c r="D12" s="11">
        <v>5</v>
      </c>
      <c r="E12" s="11" t="s">
        <v>79</v>
      </c>
      <c r="F12" s="11">
        <v>400</v>
      </c>
      <c r="G12" s="11" t="str">
        <f t="shared" si="0"/>
        <v>STANDARD PRICE</v>
      </c>
      <c r="H12" s="11" t="str">
        <f t="shared" si="1"/>
        <v>23</v>
      </c>
      <c r="I12" s="11" t="str">
        <f t="shared" si="2"/>
        <v>US</v>
      </c>
      <c r="J12" s="11" t="str">
        <f t="shared" si="3"/>
        <v>1NO</v>
      </c>
      <c r="K12" s="11" t="b">
        <f t="shared" si="4"/>
        <v>0</v>
      </c>
      <c r="L12" s="11" t="str">
        <f t="shared" si="5"/>
        <v>-1NOV2</v>
      </c>
      <c r="M12" s="11" t="str">
        <f t="shared" si="6"/>
        <v>23</v>
      </c>
      <c r="N12" s="11" t="str">
        <f t="shared" si="7"/>
        <v>Baby Towel (Johnson)</v>
      </c>
    </row>
    <row r="13" spans="1:14" x14ac:dyDescent="0.3">
      <c r="A13" s="11" t="s">
        <v>97</v>
      </c>
      <c r="B13" s="11" t="s">
        <v>34</v>
      </c>
      <c r="C13" s="11" t="s">
        <v>19</v>
      </c>
      <c r="D13" s="11">
        <v>30</v>
      </c>
      <c r="E13" s="11" t="s">
        <v>20</v>
      </c>
      <c r="F13" s="11">
        <v>40</v>
      </c>
      <c r="G13" s="11" t="str">
        <f t="shared" si="0"/>
        <v>STANDARD PRICE</v>
      </c>
      <c r="H13" s="11" t="str">
        <f t="shared" si="1"/>
        <v>89</v>
      </c>
      <c r="I13" s="11" t="str">
        <f t="shared" si="2"/>
        <v>IN</v>
      </c>
      <c r="J13" s="11" t="str">
        <f t="shared" si="3"/>
        <v>2DE</v>
      </c>
      <c r="K13" s="11" t="b">
        <f t="shared" si="4"/>
        <v>0</v>
      </c>
      <c r="L13" s="11" t="str">
        <f t="shared" si="5"/>
        <v>-2DEC2</v>
      </c>
      <c r="M13" s="11" t="str">
        <f t="shared" si="6"/>
        <v>89</v>
      </c>
      <c r="N13" s="11" t="str">
        <f t="shared" si="7"/>
        <v>Milk (Amul)</v>
      </c>
    </row>
    <row r="14" spans="1:14" x14ac:dyDescent="0.3">
      <c r="A14" s="11" t="s">
        <v>98</v>
      </c>
      <c r="B14" s="11" t="s">
        <v>35</v>
      </c>
      <c r="C14" s="11" t="s">
        <v>32</v>
      </c>
      <c r="D14" s="11">
        <v>3</v>
      </c>
      <c r="E14" s="11" t="s">
        <v>79</v>
      </c>
      <c r="F14" s="11">
        <v>220</v>
      </c>
      <c r="G14" s="11" t="str">
        <f t="shared" si="0"/>
        <v>STANDARD PRICE</v>
      </c>
      <c r="H14" s="11" t="str">
        <f t="shared" si="1"/>
        <v>38</v>
      </c>
      <c r="I14" s="11" t="str">
        <f t="shared" si="2"/>
        <v>JO</v>
      </c>
      <c r="J14" s="11" t="str">
        <f t="shared" si="3"/>
        <v>1JA</v>
      </c>
      <c r="K14" s="11" t="b">
        <f t="shared" si="4"/>
        <v>0</v>
      </c>
      <c r="L14" s="11" t="str">
        <f t="shared" si="5"/>
        <v>-1JAN2</v>
      </c>
      <c r="M14" s="11" t="str">
        <f t="shared" si="6"/>
        <v>38</v>
      </c>
      <c r="N14" s="11" t="str">
        <f t="shared" si="7"/>
        <v>Baby Comb (Johnson)</v>
      </c>
    </row>
    <row r="15" spans="1:14" x14ac:dyDescent="0.3">
      <c r="A15" s="11" t="s">
        <v>99</v>
      </c>
      <c r="B15" s="11" t="s">
        <v>36</v>
      </c>
      <c r="C15" s="11" t="s">
        <v>37</v>
      </c>
      <c r="D15" s="11">
        <v>20</v>
      </c>
      <c r="E15" s="11" t="s">
        <v>12</v>
      </c>
      <c r="F15" s="11">
        <v>130</v>
      </c>
      <c r="G15" s="11" t="str">
        <f t="shared" si="0"/>
        <v>STANDARD PRICE</v>
      </c>
      <c r="H15" s="11" t="str">
        <f t="shared" si="1"/>
        <v>35</v>
      </c>
      <c r="I15" s="11" t="str">
        <f t="shared" si="2"/>
        <v>KE</v>
      </c>
      <c r="J15" s="11" t="str">
        <f t="shared" si="3"/>
        <v>2FE</v>
      </c>
      <c r="K15" s="11" t="b">
        <f t="shared" si="4"/>
        <v>0</v>
      </c>
      <c r="L15" s="11" t="str">
        <f t="shared" si="5"/>
        <v>-2FEB2</v>
      </c>
      <c r="M15" s="11" t="str">
        <f t="shared" si="6"/>
        <v>35</v>
      </c>
      <c r="N15" s="11" t="str">
        <f t="shared" si="7"/>
        <v>Mouse (Videocon)</v>
      </c>
    </row>
    <row r="16" spans="1:14" x14ac:dyDescent="0.3">
      <c r="A16" s="11" t="s">
        <v>100</v>
      </c>
      <c r="B16" s="11" t="s">
        <v>71</v>
      </c>
      <c r="C16" s="11" t="s">
        <v>39</v>
      </c>
      <c r="D16" s="11">
        <v>50</v>
      </c>
      <c r="E16" s="11" t="s">
        <v>15</v>
      </c>
      <c r="F16" s="11">
        <v>1500</v>
      </c>
      <c r="G16" s="11" t="str">
        <f t="shared" si="0"/>
        <v>HIGH PRICE</v>
      </c>
      <c r="H16" s="11" t="str">
        <f t="shared" si="1"/>
        <v>33</v>
      </c>
      <c r="I16" s="11" t="str">
        <f t="shared" si="2"/>
        <v>FR</v>
      </c>
      <c r="J16" s="11" t="str">
        <f t="shared" si="3"/>
        <v>3MA</v>
      </c>
      <c r="K16" s="11" t="b">
        <f t="shared" si="4"/>
        <v>0</v>
      </c>
      <c r="L16" s="11" t="str">
        <f t="shared" si="5"/>
        <v>-3MAR2</v>
      </c>
      <c r="M16" s="11" t="str">
        <f t="shared" si="6"/>
        <v>33</v>
      </c>
      <c r="N16" s="11" t="str">
        <f t="shared" si="7"/>
        <v>Student Chair (Kartell)</v>
      </c>
    </row>
    <row r="17" spans="1:14" x14ac:dyDescent="0.3">
      <c r="A17" s="11" t="s">
        <v>101</v>
      </c>
      <c r="B17" s="11" t="s">
        <v>40</v>
      </c>
      <c r="C17" s="11" t="s">
        <v>41</v>
      </c>
      <c r="D17" s="11">
        <v>1</v>
      </c>
      <c r="E17" s="11" t="s">
        <v>79</v>
      </c>
      <c r="F17" s="11">
        <v>800</v>
      </c>
      <c r="G17" s="11" t="str">
        <f t="shared" si="0"/>
        <v>HIGH PRICE</v>
      </c>
      <c r="H17" s="11" t="str">
        <f t="shared" si="1"/>
        <v>78</v>
      </c>
      <c r="I17" s="11" t="str">
        <f t="shared" si="2"/>
        <v>IE</v>
      </c>
      <c r="J17" s="11" t="str">
        <f t="shared" si="3"/>
        <v>4AP</v>
      </c>
      <c r="K17" s="11" t="b">
        <f t="shared" si="4"/>
        <v>0</v>
      </c>
      <c r="L17" s="11" t="str">
        <f t="shared" si="5"/>
        <v>-4APR2</v>
      </c>
      <c r="M17" s="11" t="str">
        <f t="shared" si="6"/>
        <v>78</v>
      </c>
      <c r="N17" s="11" t="str">
        <f t="shared" si="7"/>
        <v>Baby Walker (dove)</v>
      </c>
    </row>
    <row r="18" spans="1:14" x14ac:dyDescent="0.3">
      <c r="A18" s="11" t="s">
        <v>102</v>
      </c>
      <c r="B18" s="11" t="s">
        <v>42</v>
      </c>
      <c r="C18" s="11" t="s">
        <v>43</v>
      </c>
      <c r="D18" s="11">
        <v>23</v>
      </c>
      <c r="E18" s="11" t="s">
        <v>12</v>
      </c>
      <c r="F18" s="11">
        <v>600</v>
      </c>
      <c r="G18" s="11" t="str">
        <f t="shared" si="0"/>
        <v>HIGH PRICE</v>
      </c>
      <c r="H18" s="11" t="str">
        <f t="shared" si="1"/>
        <v>46</v>
      </c>
      <c r="I18" s="11" t="str">
        <f t="shared" si="2"/>
        <v>IN</v>
      </c>
      <c r="J18" s="11" t="str">
        <f t="shared" si="3"/>
        <v>5MA</v>
      </c>
      <c r="K18" s="11" t="b">
        <f t="shared" si="4"/>
        <v>0</v>
      </c>
      <c r="L18" s="11" t="str">
        <f t="shared" si="5"/>
        <v>-5MAY2</v>
      </c>
      <c r="M18" s="11" t="str">
        <f t="shared" si="6"/>
        <v>46</v>
      </c>
      <c r="N18" s="11" t="str">
        <f t="shared" si="7"/>
        <v>Headphones (Boat)</v>
      </c>
    </row>
    <row r="19" spans="1:14" x14ac:dyDescent="0.3">
      <c r="A19" s="11" t="s">
        <v>103</v>
      </c>
      <c r="B19" s="11" t="s">
        <v>72</v>
      </c>
      <c r="C19" s="11" t="s">
        <v>45</v>
      </c>
      <c r="D19" s="11">
        <v>23</v>
      </c>
      <c r="E19" s="11" t="s">
        <v>15</v>
      </c>
      <c r="F19" s="11">
        <v>2250</v>
      </c>
      <c r="G19" s="11" t="str">
        <f t="shared" si="0"/>
        <v>HIGH PRICE</v>
      </c>
      <c r="H19" s="11" t="str">
        <f t="shared" si="1"/>
        <v>23</v>
      </c>
      <c r="I19" s="11" t="str">
        <f t="shared" si="2"/>
        <v>HT</v>
      </c>
      <c r="J19" s="11" t="str">
        <f t="shared" si="3"/>
        <v>6JU</v>
      </c>
      <c r="K19" s="11" t="b">
        <f t="shared" si="4"/>
        <v>0</v>
      </c>
      <c r="L19" s="11" t="str">
        <f t="shared" si="5"/>
        <v>-6JUN2</v>
      </c>
      <c r="M19" s="11" t="str">
        <f t="shared" si="6"/>
        <v>23</v>
      </c>
      <c r="N19" s="11" t="str">
        <f t="shared" si="7"/>
        <v>Standing Desk (Flexispot)</v>
      </c>
    </row>
    <row r="20" spans="1:14" x14ac:dyDescent="0.3">
      <c r="A20" s="11" t="s">
        <v>104</v>
      </c>
      <c r="B20" s="11" t="s">
        <v>46</v>
      </c>
      <c r="C20" s="11" t="s">
        <v>47</v>
      </c>
      <c r="D20" s="11">
        <v>3</v>
      </c>
      <c r="E20" s="11" t="s">
        <v>79</v>
      </c>
      <c r="F20" s="11">
        <v>180</v>
      </c>
      <c r="G20" s="11" t="str">
        <f t="shared" si="0"/>
        <v>STANDARD PRICE</v>
      </c>
      <c r="H20" s="11" t="str">
        <f t="shared" si="1"/>
        <v>23</v>
      </c>
      <c r="I20" s="11" t="str">
        <f t="shared" si="2"/>
        <v>CI</v>
      </c>
      <c r="J20" s="11" t="str">
        <f t="shared" si="3"/>
        <v>7JU</v>
      </c>
      <c r="K20" s="11" t="b">
        <f t="shared" si="4"/>
        <v>0</v>
      </c>
      <c r="L20" s="11" t="str">
        <f t="shared" si="5"/>
        <v>-7JUL2</v>
      </c>
      <c r="M20" s="11" t="str">
        <f t="shared" si="6"/>
        <v>23</v>
      </c>
      <c r="N20" s="11" t="str">
        <f t="shared" si="7"/>
        <v>Baby Oil (Himalaya)</v>
      </c>
    </row>
    <row r="21" spans="1:14" x14ac:dyDescent="0.3">
      <c r="A21" s="11" t="s">
        <v>105</v>
      </c>
      <c r="B21" s="11" t="s">
        <v>48</v>
      </c>
      <c r="C21" s="11" t="s">
        <v>49</v>
      </c>
      <c r="D21" s="11">
        <v>10</v>
      </c>
      <c r="E21" s="11" t="s">
        <v>12</v>
      </c>
      <c r="F21" s="11">
        <v>3000</v>
      </c>
      <c r="G21" s="11" t="str">
        <f t="shared" si="0"/>
        <v>HIGH PRICE</v>
      </c>
      <c r="H21" s="11" t="str">
        <f t="shared" si="1"/>
        <v>92</v>
      </c>
      <c r="I21" s="11" t="str">
        <f t="shared" si="2"/>
        <v>ID</v>
      </c>
      <c r="J21" s="11" t="str">
        <f t="shared" si="3"/>
        <v>8AU</v>
      </c>
      <c r="K21" s="11" t="b">
        <f t="shared" si="4"/>
        <v>0</v>
      </c>
      <c r="L21" s="11" t="str">
        <f t="shared" si="5"/>
        <v>-8AUG2</v>
      </c>
      <c r="M21" s="11" t="str">
        <f t="shared" si="6"/>
        <v>92</v>
      </c>
      <c r="N21" s="11" t="str">
        <f t="shared" si="7"/>
        <v>Projector (Canon)</v>
      </c>
    </row>
    <row r="22" spans="1:14" x14ac:dyDescent="0.3">
      <c r="A22" s="11" t="s">
        <v>106</v>
      </c>
      <c r="B22" s="11" t="s">
        <v>73</v>
      </c>
      <c r="C22" s="11" t="s">
        <v>45</v>
      </c>
      <c r="D22" s="11">
        <v>13</v>
      </c>
      <c r="E22" s="11" t="s">
        <v>15</v>
      </c>
      <c r="F22" s="11">
        <v>2500</v>
      </c>
      <c r="G22" s="11" t="str">
        <f t="shared" si="0"/>
        <v>HIGH PRICE</v>
      </c>
      <c r="H22" s="11" t="str">
        <f t="shared" si="1"/>
        <v>34</v>
      </c>
      <c r="I22" s="11" t="str">
        <f t="shared" si="2"/>
        <v>IL</v>
      </c>
      <c r="J22" s="11" t="str">
        <f t="shared" si="3"/>
        <v>9SE</v>
      </c>
      <c r="K22" s="11" t="b">
        <f t="shared" si="4"/>
        <v>0</v>
      </c>
      <c r="L22" s="11" t="str">
        <f t="shared" si="5"/>
        <v>-9SEP2</v>
      </c>
      <c r="M22" s="11" t="str">
        <f t="shared" si="6"/>
        <v>34</v>
      </c>
      <c r="N22" s="11" t="str">
        <f t="shared" si="7"/>
        <v>Visitor Chair (Flexispot)</v>
      </c>
    </row>
    <row r="23" spans="1:14" x14ac:dyDescent="0.3">
      <c r="A23" s="11" t="s">
        <v>107</v>
      </c>
      <c r="B23" s="11" t="s">
        <v>51</v>
      </c>
      <c r="C23" s="11" t="s">
        <v>52</v>
      </c>
      <c r="D23" s="11">
        <v>20</v>
      </c>
      <c r="E23" s="11" t="s">
        <v>20</v>
      </c>
      <c r="F23" s="11">
        <v>320</v>
      </c>
      <c r="G23" s="11" t="str">
        <f t="shared" si="0"/>
        <v>STANDARD PRICE</v>
      </c>
      <c r="H23" s="11" t="str">
        <f t="shared" si="1"/>
        <v>53</v>
      </c>
      <c r="I23" s="11" t="str">
        <f t="shared" si="2"/>
        <v>EU</v>
      </c>
      <c r="J23" s="11" t="str">
        <f t="shared" si="3"/>
        <v>4OC</v>
      </c>
      <c r="K23" s="11" t="b">
        <f t="shared" si="4"/>
        <v>0</v>
      </c>
      <c r="L23" s="11" t="str">
        <f t="shared" si="5"/>
        <v>-4OCT2</v>
      </c>
      <c r="M23" s="11" t="str">
        <f t="shared" si="6"/>
        <v>53</v>
      </c>
      <c r="N23" s="11" t="str">
        <f t="shared" si="7"/>
        <v>Cheese (Arla)</v>
      </c>
    </row>
    <row r="24" spans="1:14" x14ac:dyDescent="0.3">
      <c r="A24" s="11" t="s">
        <v>108</v>
      </c>
      <c r="B24" s="11" t="s">
        <v>53</v>
      </c>
      <c r="C24" s="11" t="s">
        <v>49</v>
      </c>
      <c r="D24" s="11">
        <v>5</v>
      </c>
      <c r="E24" s="11" t="s">
        <v>12</v>
      </c>
      <c r="F24" s="11">
        <v>7000</v>
      </c>
      <c r="G24" s="11" t="str">
        <f t="shared" si="0"/>
        <v>HIGH PRICE</v>
      </c>
      <c r="H24" s="11" t="str">
        <f t="shared" si="1"/>
        <v>21</v>
      </c>
      <c r="I24" s="11" t="str">
        <f t="shared" si="2"/>
        <v>CI</v>
      </c>
      <c r="J24" s="11" t="str">
        <f t="shared" si="3"/>
        <v>1NO</v>
      </c>
      <c r="K24" s="11" t="b">
        <f t="shared" si="4"/>
        <v>0</v>
      </c>
      <c r="L24" s="11" t="str">
        <f t="shared" si="5"/>
        <v>-1NOV2</v>
      </c>
      <c r="M24" s="11" t="str">
        <f t="shared" si="6"/>
        <v>21</v>
      </c>
      <c r="N24" s="11" t="str">
        <f t="shared" si="7"/>
        <v>Printer (Canon)</v>
      </c>
    </row>
    <row r="25" spans="1:14" x14ac:dyDescent="0.3">
      <c r="A25" s="11" t="s">
        <v>109</v>
      </c>
      <c r="B25" s="11" t="s">
        <v>74</v>
      </c>
      <c r="C25" s="11" t="s">
        <v>55</v>
      </c>
      <c r="D25" s="11">
        <v>3</v>
      </c>
      <c r="E25" s="11" t="s">
        <v>79</v>
      </c>
      <c r="F25" s="11">
        <v>30</v>
      </c>
      <c r="G25" s="11" t="str">
        <f t="shared" si="0"/>
        <v>STANDARD PRICE</v>
      </c>
      <c r="H25" s="11" t="str">
        <f t="shared" si="1"/>
        <v>80</v>
      </c>
      <c r="I25" s="11" t="str">
        <f t="shared" si="2"/>
        <v>IR</v>
      </c>
      <c r="J25" s="11" t="str">
        <f t="shared" si="3"/>
        <v>2DE</v>
      </c>
      <c r="K25" s="11" t="b">
        <f t="shared" si="4"/>
        <v>0</v>
      </c>
      <c r="L25" s="11" t="str">
        <f t="shared" si="5"/>
        <v>-2DEC2</v>
      </c>
      <c r="M25" s="11" t="str">
        <f t="shared" si="6"/>
        <v>80</v>
      </c>
      <c r="N25" s="11" t="str">
        <f t="shared" si="7"/>
        <v>Baby Spoons (mee mee)</v>
      </c>
    </row>
    <row r="26" spans="1:14" x14ac:dyDescent="0.3">
      <c r="A26" s="11" t="s">
        <v>110</v>
      </c>
      <c r="B26" s="11" t="s">
        <v>75</v>
      </c>
      <c r="C26" s="11" t="s">
        <v>52</v>
      </c>
      <c r="D26" s="11">
        <v>3</v>
      </c>
      <c r="E26" s="11" t="s">
        <v>20</v>
      </c>
      <c r="F26" s="11">
        <v>60</v>
      </c>
      <c r="G26" s="11" t="str">
        <f t="shared" si="0"/>
        <v>STANDARD PRICE</v>
      </c>
      <c r="H26" s="11" t="str">
        <f t="shared" si="1"/>
        <v>38</v>
      </c>
      <c r="I26" s="11" t="str">
        <f t="shared" si="2"/>
        <v>ID</v>
      </c>
      <c r="J26" s="11" t="str">
        <f t="shared" si="3"/>
        <v>1JA</v>
      </c>
      <c r="K26" s="11" t="b">
        <f t="shared" si="4"/>
        <v>0</v>
      </c>
      <c r="L26" s="11" t="str">
        <f t="shared" si="5"/>
        <v>-1JAN2</v>
      </c>
      <c r="M26" s="11" t="str">
        <f t="shared" si="6"/>
        <v>38</v>
      </c>
      <c r="N26" s="11" t="str">
        <f t="shared" si="7"/>
        <v>Milk Powder (Arla)</v>
      </c>
    </row>
    <row r="27" spans="1:14" x14ac:dyDescent="0.3">
      <c r="A27" s="11" t="s">
        <v>111</v>
      </c>
      <c r="B27" s="11" t="s">
        <v>31</v>
      </c>
      <c r="C27" s="11" t="s">
        <v>55</v>
      </c>
      <c r="D27" s="11">
        <v>7</v>
      </c>
      <c r="E27" s="11" t="s">
        <v>79</v>
      </c>
      <c r="F27" s="11">
        <v>300</v>
      </c>
      <c r="G27" s="11" t="str">
        <f t="shared" si="0"/>
        <v>STANDARD PRICE</v>
      </c>
      <c r="H27" s="11" t="str">
        <f t="shared" si="1"/>
        <v>35</v>
      </c>
      <c r="I27" s="11" t="str">
        <f t="shared" si="2"/>
        <v>IM</v>
      </c>
      <c r="J27" s="11" t="str">
        <f t="shared" si="3"/>
        <v>2FE</v>
      </c>
      <c r="K27" s="11" t="b">
        <f t="shared" si="4"/>
        <v>0</v>
      </c>
      <c r="L27" s="11" t="str">
        <f t="shared" si="5"/>
        <v>-2FEB2</v>
      </c>
      <c r="M27" s="11" t="str">
        <f t="shared" si="6"/>
        <v>35</v>
      </c>
      <c r="N27" s="11" t="str">
        <f t="shared" si="7"/>
        <v>Baby Towel (mee mee)</v>
      </c>
    </row>
    <row r="28" spans="1:14" x14ac:dyDescent="0.3">
      <c r="A28" s="11" t="s">
        <v>112</v>
      </c>
      <c r="B28" s="11" t="s">
        <v>76</v>
      </c>
      <c r="C28" s="11" t="s">
        <v>11</v>
      </c>
      <c r="D28" s="11">
        <v>45</v>
      </c>
      <c r="E28" s="11" t="s">
        <v>12</v>
      </c>
      <c r="F28" s="11">
        <v>500</v>
      </c>
      <c r="G28" s="11" t="str">
        <f t="shared" si="0"/>
        <v>HIGH PRICE</v>
      </c>
      <c r="H28" s="11" t="str">
        <f t="shared" si="1"/>
        <v>38</v>
      </c>
      <c r="I28" s="11" t="str">
        <f t="shared" si="2"/>
        <v>JO</v>
      </c>
      <c r="J28" s="11" t="str">
        <f t="shared" si="3"/>
        <v>1JA</v>
      </c>
      <c r="K28" s="11" t="b">
        <f t="shared" si="4"/>
        <v>0</v>
      </c>
      <c r="L28" s="11" t="str">
        <f t="shared" si="5"/>
        <v>-1JAN2</v>
      </c>
      <c r="M28" s="11" t="str">
        <f t="shared" si="6"/>
        <v>38</v>
      </c>
      <c r="N28" s="11" t="str">
        <f t="shared" si="7"/>
        <v>Smart Watch (Microsoft)</v>
      </c>
    </row>
    <row r="29" spans="1:14" x14ac:dyDescent="0.3">
      <c r="A29" s="11" t="s">
        <v>113</v>
      </c>
      <c r="B29" s="11" t="s">
        <v>58</v>
      </c>
      <c r="C29" s="11" t="s">
        <v>59</v>
      </c>
      <c r="D29" s="11">
        <v>5</v>
      </c>
      <c r="E29" s="11" t="s">
        <v>12</v>
      </c>
      <c r="F29" s="11">
        <v>8000</v>
      </c>
      <c r="G29" s="11" t="str">
        <f t="shared" si="0"/>
        <v>HIGH PRICE</v>
      </c>
      <c r="H29" s="11" t="str">
        <f t="shared" si="1"/>
        <v>35</v>
      </c>
      <c r="I29" s="11" t="str">
        <f t="shared" si="2"/>
        <v>ID</v>
      </c>
      <c r="J29" s="11" t="str">
        <f t="shared" si="3"/>
        <v>2FE</v>
      </c>
      <c r="K29" s="11" t="b">
        <f t="shared" si="4"/>
        <v>0</v>
      </c>
      <c r="L29" s="11" t="str">
        <f t="shared" si="5"/>
        <v>-2FEB2</v>
      </c>
      <c r="M29" s="11" t="str">
        <f t="shared" si="6"/>
        <v>35</v>
      </c>
      <c r="N29" s="11" t="str">
        <f t="shared" si="7"/>
        <v>Color Laser Printer (HP)</v>
      </c>
    </row>
    <row r="30" spans="1:14" x14ac:dyDescent="0.3">
      <c r="A30" s="11" t="s">
        <v>114</v>
      </c>
      <c r="B30" s="11" t="s">
        <v>77</v>
      </c>
      <c r="C30" s="11" t="s">
        <v>61</v>
      </c>
      <c r="D30" s="11">
        <v>2</v>
      </c>
      <c r="E30" s="11" t="s">
        <v>79</v>
      </c>
      <c r="F30" s="11">
        <v>900</v>
      </c>
      <c r="G30" s="11" t="str">
        <f t="shared" si="0"/>
        <v>HIGH PRICE</v>
      </c>
      <c r="H30" s="11" t="str">
        <f t="shared" si="1"/>
        <v>33</v>
      </c>
      <c r="I30" s="11" t="str">
        <f t="shared" si="2"/>
        <v>JO</v>
      </c>
      <c r="J30" s="11" t="str">
        <f t="shared" si="3"/>
        <v>3MA</v>
      </c>
      <c r="K30" s="11" t="b">
        <f t="shared" si="4"/>
        <v>0</v>
      </c>
      <c r="L30" s="11" t="str">
        <f t="shared" si="5"/>
        <v>-3MAR2</v>
      </c>
      <c r="M30" s="11" t="str">
        <f t="shared" si="6"/>
        <v>33</v>
      </c>
      <c r="N30" s="11" t="str">
        <f t="shared" si="7"/>
        <v>Baby Swing (mamaearth)</v>
      </c>
    </row>
    <row r="31" spans="1:14" x14ac:dyDescent="0.3">
      <c r="A31" s="11" t="s">
        <v>115</v>
      </c>
      <c r="B31" s="11" t="s">
        <v>78</v>
      </c>
      <c r="C31" s="11" t="s">
        <v>63</v>
      </c>
      <c r="D31" s="11">
        <v>20</v>
      </c>
      <c r="E31" s="11" t="s">
        <v>80</v>
      </c>
      <c r="F31" s="11">
        <v>450</v>
      </c>
      <c r="G31" s="11" t="str">
        <f t="shared" si="0"/>
        <v>STANDARD PRICE</v>
      </c>
      <c r="H31" s="11" t="str">
        <f t="shared" si="1"/>
        <v>30</v>
      </c>
      <c r="I31" s="11" t="str">
        <f t="shared" si="2"/>
        <v>CI</v>
      </c>
      <c r="J31" s="11" t="str">
        <f t="shared" si="3"/>
        <v>4AP</v>
      </c>
      <c r="K31" s="11" t="b">
        <f t="shared" si="4"/>
        <v>0</v>
      </c>
      <c r="L31" s="11" t="str">
        <f t="shared" si="5"/>
        <v>-4APR2</v>
      </c>
      <c r="M31" s="11" t="str">
        <f t="shared" si="6"/>
        <v>30</v>
      </c>
      <c r="N31" s="11" t="str">
        <f t="shared" si="7"/>
        <v>Pendrive (sandisk)</v>
      </c>
    </row>
    <row r="33" spans="12:12" x14ac:dyDescent="0.3">
      <c r="L33" s="1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BDF6-9A2D-4F9C-8CF2-3D60B5AA1276}">
  <dimension ref="A1:R38"/>
  <sheetViews>
    <sheetView zoomScale="96" zoomScaleNormal="96" workbookViewId="0">
      <selection activeCell="B12" sqref="B12"/>
    </sheetView>
  </sheetViews>
  <sheetFormatPr defaultRowHeight="15.75" x14ac:dyDescent="0.25"/>
  <cols>
    <col min="1" max="1" width="28.42578125" style="5" bestFit="1" customWidth="1"/>
    <col min="2" max="2" width="35.42578125" style="5" bestFit="1" customWidth="1"/>
    <col min="3" max="3" width="30.5703125" style="5" bestFit="1" customWidth="1"/>
    <col min="4" max="4" width="24.140625" style="5" bestFit="1" customWidth="1"/>
    <col min="5" max="5" width="28.7109375" style="5" bestFit="1" customWidth="1"/>
    <col min="6" max="6" width="16.42578125" style="5" bestFit="1" customWidth="1"/>
    <col min="7" max="7" width="29.85546875" style="5" bestFit="1" customWidth="1"/>
    <col min="8" max="8" width="13.140625" style="5" bestFit="1" customWidth="1"/>
    <col min="9" max="9" width="34.140625" style="5" bestFit="1" customWidth="1"/>
    <col min="10" max="10" width="21.42578125" style="5" bestFit="1" customWidth="1"/>
    <col min="11" max="11" width="30.85546875" style="5" bestFit="1" customWidth="1"/>
    <col min="12" max="12" width="52.42578125" style="5" bestFit="1" customWidth="1"/>
    <col min="13" max="13" width="38.140625" style="5" bestFit="1" customWidth="1"/>
    <col min="14" max="14" width="45.85546875" style="5" bestFit="1" customWidth="1"/>
    <col min="15" max="15" width="15.28515625" style="5" bestFit="1" customWidth="1"/>
    <col min="16" max="16" width="17.42578125" style="5" bestFit="1" customWidth="1"/>
    <col min="17" max="17" width="13.140625" style="5" customWidth="1"/>
    <col min="18" max="18" width="16.5703125" style="5" bestFit="1" customWidth="1"/>
    <col min="19" max="16384" width="9.140625" style="5"/>
  </cols>
  <sheetData>
    <row r="1" spans="1:18" s="4" customFormat="1" ht="23.25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9" t="s">
        <v>5</v>
      </c>
      <c r="G1" s="7" t="s">
        <v>6</v>
      </c>
      <c r="H1" s="7" t="s">
        <v>119</v>
      </c>
      <c r="I1" s="7" t="s">
        <v>8</v>
      </c>
      <c r="J1" s="8" t="s">
        <v>9</v>
      </c>
      <c r="K1" s="7" t="s">
        <v>65</v>
      </c>
      <c r="L1" s="7" t="s">
        <v>83</v>
      </c>
      <c r="M1" s="7" t="s">
        <v>84</v>
      </c>
      <c r="N1" s="7" t="s">
        <v>85</v>
      </c>
      <c r="O1" s="7" t="s">
        <v>7</v>
      </c>
      <c r="P1" s="7" t="s">
        <v>118</v>
      </c>
      <c r="Q1" s="7" t="s">
        <v>117</v>
      </c>
      <c r="R1" s="29" t="s">
        <v>116</v>
      </c>
    </row>
    <row r="2" spans="1:18" ht="18.75" x14ac:dyDescent="0.3">
      <c r="A2" s="11" t="s">
        <v>120</v>
      </c>
      <c r="B2" s="11" t="s">
        <v>10</v>
      </c>
      <c r="C2" s="11" t="s">
        <v>11</v>
      </c>
      <c r="D2" s="11">
        <v>20</v>
      </c>
      <c r="E2" s="11" t="s">
        <v>12</v>
      </c>
      <c r="F2" s="15">
        <v>130</v>
      </c>
      <c r="G2" s="11" t="str">
        <f t="shared" ref="G2:G31" si="0">IF(F2&gt;=500,"HIGH PRICE","STANDARD PRICE")</f>
        <v>STANDARD PRICE</v>
      </c>
      <c r="H2" s="11" t="str">
        <f t="shared" ref="H2:H31" si="1">LEFT(A2,2)</f>
        <v>38</v>
      </c>
      <c r="I2" s="11" t="str">
        <f t="shared" ref="I2:I31" si="2">RIGHT(A2,2)</f>
        <v>IN</v>
      </c>
      <c r="J2" s="11" t="str">
        <f t="shared" ref="J2:J31" si="3">MID(A2,5,3)</f>
        <v>JAN</v>
      </c>
      <c r="K2" s="11" t="b">
        <f t="shared" ref="K2:K31" si="4">ISBLANK(F2)</f>
        <v>0</v>
      </c>
      <c r="L2" s="11" t="str">
        <f>MID(A2,4,6)</f>
        <v>1JAN23</v>
      </c>
      <c r="M2" s="11" t="str">
        <f t="shared" ref="M2:M31" si="5">LEFT(A2,2)</f>
        <v>38</v>
      </c>
      <c r="N2" s="11" t="str">
        <f t="shared" ref="N2:N31" si="6">CONCATENATE(B2," (",C2,")")</f>
        <v>Keyboard (Microsoft)</v>
      </c>
      <c r="O2" s="25" t="str">
        <f t="shared" ref="O2:O31" si="7">LEFT(L2,1)</f>
        <v>1</v>
      </c>
      <c r="P2" s="13" t="str">
        <f>RIGHT(L2,2)</f>
        <v>23</v>
      </c>
      <c r="Q2" s="12">
        <f t="shared" ref="Q2:Q31" si="8">MONTH(L2)</f>
        <v>1</v>
      </c>
      <c r="R2" s="28">
        <f t="shared" ref="R2:R31" si="9">DATE(P2,Q2,O2)</f>
        <v>8402</v>
      </c>
    </row>
    <row r="3" spans="1:18" ht="18.75" x14ac:dyDescent="0.3">
      <c r="A3" s="11" t="s">
        <v>86</v>
      </c>
      <c r="B3" s="11" t="s">
        <v>68</v>
      </c>
      <c r="C3" s="11" t="s">
        <v>14</v>
      </c>
      <c r="D3" s="11">
        <v>39</v>
      </c>
      <c r="E3" s="11" t="s">
        <v>15</v>
      </c>
      <c r="F3" s="15">
        <v>600</v>
      </c>
      <c r="G3" s="11" t="str">
        <f t="shared" si="0"/>
        <v>HIGH PRICE</v>
      </c>
      <c r="H3" s="11" t="str">
        <f t="shared" si="1"/>
        <v>35</v>
      </c>
      <c r="I3" s="11" t="str">
        <f t="shared" si="2"/>
        <v>US</v>
      </c>
      <c r="J3" s="11" t="str">
        <f t="shared" si="3"/>
        <v>FEB</v>
      </c>
      <c r="K3" s="11" t="b">
        <f t="shared" si="4"/>
        <v>0</v>
      </c>
      <c r="L3" s="11" t="str">
        <f t="shared" ref="L3:L31" si="10">MID(A3,4,6)</f>
        <v>2FEB22</v>
      </c>
      <c r="M3" s="11" t="str">
        <f t="shared" si="5"/>
        <v>35</v>
      </c>
      <c r="N3" s="11" t="str">
        <f t="shared" si="6"/>
        <v>Lab Chair (Lotus)</v>
      </c>
      <c r="O3" s="11" t="str">
        <f t="shared" si="7"/>
        <v>2</v>
      </c>
      <c r="P3" s="12" t="str">
        <f t="shared" ref="P3:P31" si="11">RIGHT(L3,2)</f>
        <v>22</v>
      </c>
      <c r="Q3" s="12">
        <f t="shared" si="8"/>
        <v>2</v>
      </c>
      <c r="R3" s="28">
        <f t="shared" si="9"/>
        <v>8069</v>
      </c>
    </row>
    <row r="4" spans="1:18" ht="18.75" x14ac:dyDescent="0.3">
      <c r="A4" s="11" t="s">
        <v>88</v>
      </c>
      <c r="B4" s="11" t="s">
        <v>16</v>
      </c>
      <c r="C4" s="11" t="s">
        <v>17</v>
      </c>
      <c r="D4" s="11">
        <v>25</v>
      </c>
      <c r="E4" s="11" t="s">
        <v>12</v>
      </c>
      <c r="F4" s="15">
        <v>2500</v>
      </c>
      <c r="G4" s="11" t="str">
        <f t="shared" si="0"/>
        <v>HIGH PRICE</v>
      </c>
      <c r="H4" s="11" t="str">
        <f t="shared" si="1"/>
        <v>33</v>
      </c>
      <c r="I4" s="11" t="str">
        <f t="shared" si="2"/>
        <v>FR</v>
      </c>
      <c r="J4" s="11" t="str">
        <f t="shared" si="3"/>
        <v>MAR</v>
      </c>
      <c r="K4" s="11" t="b">
        <f t="shared" si="4"/>
        <v>0</v>
      </c>
      <c r="L4" s="11" t="str">
        <f t="shared" si="10"/>
        <v>3MAR23</v>
      </c>
      <c r="M4" s="11" t="str">
        <f t="shared" si="5"/>
        <v>33</v>
      </c>
      <c r="N4" s="11" t="str">
        <f t="shared" si="6"/>
        <v>Monitor (Philips)</v>
      </c>
      <c r="O4" s="11" t="str">
        <f t="shared" si="7"/>
        <v>3</v>
      </c>
      <c r="P4" s="12" t="str">
        <f t="shared" si="11"/>
        <v>23</v>
      </c>
      <c r="Q4" s="12">
        <f t="shared" si="8"/>
        <v>3</v>
      </c>
      <c r="R4" s="28">
        <f t="shared" si="9"/>
        <v>8463</v>
      </c>
    </row>
    <row r="5" spans="1:18" ht="18.75" x14ac:dyDescent="0.3">
      <c r="A5" s="11" t="s">
        <v>89</v>
      </c>
      <c r="B5" s="11" t="s">
        <v>18</v>
      </c>
      <c r="C5" s="11" t="s">
        <v>19</v>
      </c>
      <c r="D5" s="11">
        <v>40</v>
      </c>
      <c r="E5" s="11" t="s">
        <v>20</v>
      </c>
      <c r="F5" s="15">
        <v>160</v>
      </c>
      <c r="G5" s="11" t="str">
        <f t="shared" si="0"/>
        <v>STANDARD PRICE</v>
      </c>
      <c r="H5" s="11" t="str">
        <f t="shared" si="1"/>
        <v>30</v>
      </c>
      <c r="I5" s="11" t="str">
        <f t="shared" si="2"/>
        <v>ER</v>
      </c>
      <c r="J5" s="11" t="str">
        <f t="shared" si="3"/>
        <v>APR</v>
      </c>
      <c r="K5" s="11" t="b">
        <f t="shared" si="4"/>
        <v>0</v>
      </c>
      <c r="L5" s="11" t="str">
        <f t="shared" si="10"/>
        <v>4APR16</v>
      </c>
      <c r="M5" s="11" t="str">
        <f t="shared" si="5"/>
        <v>30</v>
      </c>
      <c r="N5" s="11" t="str">
        <f t="shared" si="6"/>
        <v>Butter (Amul)</v>
      </c>
      <c r="O5" s="11" t="str">
        <f t="shared" si="7"/>
        <v>4</v>
      </c>
      <c r="P5" s="12" t="str">
        <f t="shared" si="11"/>
        <v>16</v>
      </c>
      <c r="Q5" s="12">
        <f t="shared" si="8"/>
        <v>4</v>
      </c>
      <c r="R5" s="28">
        <f t="shared" si="9"/>
        <v>5939</v>
      </c>
    </row>
    <row r="6" spans="1:18" ht="18.75" x14ac:dyDescent="0.3">
      <c r="A6" s="11" t="s">
        <v>90</v>
      </c>
      <c r="B6" s="11" t="s">
        <v>21</v>
      </c>
      <c r="C6" s="11" t="s">
        <v>11</v>
      </c>
      <c r="D6" s="11">
        <v>50</v>
      </c>
      <c r="E6" s="11" t="s">
        <v>12</v>
      </c>
      <c r="F6" s="15">
        <v>45000</v>
      </c>
      <c r="G6" s="11" t="str">
        <f t="shared" si="0"/>
        <v>HIGH PRICE</v>
      </c>
      <c r="H6" s="11" t="str">
        <f t="shared" si="1"/>
        <v>46</v>
      </c>
      <c r="I6" s="11" t="str">
        <f t="shared" si="2"/>
        <v>IS</v>
      </c>
      <c r="J6" s="11" t="str">
        <f t="shared" si="3"/>
        <v>MAY</v>
      </c>
      <c r="K6" s="11" t="b">
        <f t="shared" si="4"/>
        <v>0</v>
      </c>
      <c r="L6" s="11" t="str">
        <f t="shared" si="10"/>
        <v>5MAY24</v>
      </c>
      <c r="M6" s="11" t="str">
        <f t="shared" si="5"/>
        <v>46</v>
      </c>
      <c r="N6" s="11" t="str">
        <f t="shared" si="6"/>
        <v>Laptop (Microsoft)</v>
      </c>
      <c r="O6" s="11" t="str">
        <f t="shared" si="7"/>
        <v>5</v>
      </c>
      <c r="P6" s="12" t="str">
        <f t="shared" si="11"/>
        <v>24</v>
      </c>
      <c r="Q6" s="12">
        <f t="shared" si="8"/>
        <v>5</v>
      </c>
      <c r="R6" s="28">
        <f t="shared" si="9"/>
        <v>8892</v>
      </c>
    </row>
    <row r="7" spans="1:18" ht="18.75" x14ac:dyDescent="0.3">
      <c r="A7" s="11" t="s">
        <v>91</v>
      </c>
      <c r="B7" s="11" t="s">
        <v>22</v>
      </c>
      <c r="C7" s="11" t="s">
        <v>23</v>
      </c>
      <c r="D7" s="11">
        <v>20</v>
      </c>
      <c r="E7" s="11" t="s">
        <v>12</v>
      </c>
      <c r="F7" s="15">
        <v>40000</v>
      </c>
      <c r="G7" s="11" t="str">
        <f t="shared" si="0"/>
        <v>HIGH PRICE</v>
      </c>
      <c r="H7" s="11" t="str">
        <f t="shared" si="1"/>
        <v>23</v>
      </c>
      <c r="I7" s="11" t="str">
        <f t="shared" si="2"/>
        <v>IN</v>
      </c>
      <c r="J7" s="11" t="str">
        <f t="shared" si="3"/>
        <v>JUN</v>
      </c>
      <c r="K7" s="11" t="b">
        <f t="shared" si="4"/>
        <v>0</v>
      </c>
      <c r="L7" s="11" t="str">
        <f t="shared" si="10"/>
        <v>6JUN25</v>
      </c>
      <c r="M7" s="11" t="str">
        <f t="shared" si="5"/>
        <v>23</v>
      </c>
      <c r="N7" s="11" t="str">
        <f t="shared" si="6"/>
        <v>Smartphone (Lenovo)</v>
      </c>
      <c r="O7" s="11" t="str">
        <f t="shared" si="7"/>
        <v>6</v>
      </c>
      <c r="P7" s="12" t="str">
        <f t="shared" si="11"/>
        <v>25</v>
      </c>
      <c r="Q7" s="12">
        <f t="shared" si="8"/>
        <v>6</v>
      </c>
      <c r="R7" s="28">
        <f t="shared" si="9"/>
        <v>9289</v>
      </c>
    </row>
    <row r="8" spans="1:18" ht="18.75" x14ac:dyDescent="0.3">
      <c r="A8" s="11" t="s">
        <v>92</v>
      </c>
      <c r="B8" s="11" t="s">
        <v>69</v>
      </c>
      <c r="C8" s="11" t="s">
        <v>25</v>
      </c>
      <c r="D8" s="11">
        <v>25</v>
      </c>
      <c r="E8" s="11" t="s">
        <v>15</v>
      </c>
      <c r="F8" s="15">
        <v>3600</v>
      </c>
      <c r="G8" s="11" t="str">
        <f t="shared" si="0"/>
        <v>HIGH PRICE</v>
      </c>
      <c r="H8" s="11" t="str">
        <f t="shared" si="1"/>
        <v>23</v>
      </c>
      <c r="I8" s="11" t="str">
        <f t="shared" si="2"/>
        <v>EU</v>
      </c>
      <c r="J8" s="11" t="str">
        <f t="shared" si="3"/>
        <v>JUL</v>
      </c>
      <c r="K8" s="11" t="b">
        <f t="shared" si="4"/>
        <v>0</v>
      </c>
      <c r="L8" s="11" t="str">
        <f t="shared" si="10"/>
        <v>7JUL26</v>
      </c>
      <c r="M8" s="11" t="str">
        <f t="shared" si="5"/>
        <v>23</v>
      </c>
      <c r="N8" s="11" t="str">
        <f t="shared" si="6"/>
        <v>Leather Executive Chair (Cassina)</v>
      </c>
      <c r="O8" s="11" t="str">
        <f t="shared" si="7"/>
        <v>7</v>
      </c>
      <c r="P8" s="12" t="str">
        <f t="shared" si="11"/>
        <v>26</v>
      </c>
      <c r="Q8" s="12">
        <f t="shared" si="8"/>
        <v>7</v>
      </c>
      <c r="R8" s="28">
        <f t="shared" si="9"/>
        <v>9685</v>
      </c>
    </row>
    <row r="9" spans="1:18" ht="18.75" x14ac:dyDescent="0.3">
      <c r="A9" s="11" t="s">
        <v>93</v>
      </c>
      <c r="B9" s="11" t="s">
        <v>26</v>
      </c>
      <c r="C9" s="11" t="s">
        <v>27</v>
      </c>
      <c r="D9" s="11">
        <v>11</v>
      </c>
      <c r="E9" s="11" t="s">
        <v>12</v>
      </c>
      <c r="F9" s="15">
        <v>54000</v>
      </c>
      <c r="G9" s="11" t="str">
        <f t="shared" si="0"/>
        <v>HIGH PRICE</v>
      </c>
      <c r="H9" s="11" t="str">
        <f t="shared" si="1"/>
        <v>92</v>
      </c>
      <c r="I9" s="11" t="str">
        <f t="shared" si="2"/>
        <v>HU</v>
      </c>
      <c r="J9" s="11" t="str">
        <f t="shared" si="3"/>
        <v>AUG</v>
      </c>
      <c r="K9" s="11" t="b">
        <f t="shared" si="4"/>
        <v>0</v>
      </c>
      <c r="L9" s="11" t="str">
        <f t="shared" si="10"/>
        <v>8AUG25</v>
      </c>
      <c r="M9" s="11" t="str">
        <f t="shared" si="5"/>
        <v>92</v>
      </c>
      <c r="N9" s="11" t="str">
        <f t="shared" si="6"/>
        <v>Tablet (Bose)</v>
      </c>
      <c r="O9" s="11" t="str">
        <f t="shared" si="7"/>
        <v>8</v>
      </c>
      <c r="P9" s="12" t="str">
        <f t="shared" si="11"/>
        <v>25</v>
      </c>
      <c r="Q9" s="12">
        <f t="shared" si="8"/>
        <v>8</v>
      </c>
      <c r="R9" s="28">
        <f t="shared" si="9"/>
        <v>9352</v>
      </c>
    </row>
    <row r="10" spans="1:18" ht="18.75" x14ac:dyDescent="0.3">
      <c r="A10" s="11" t="s">
        <v>94</v>
      </c>
      <c r="B10" s="11" t="s">
        <v>28</v>
      </c>
      <c r="C10" s="11" t="s">
        <v>19</v>
      </c>
      <c r="D10" s="11">
        <v>29</v>
      </c>
      <c r="E10" s="11" t="s">
        <v>20</v>
      </c>
      <c r="F10" s="15">
        <v>300</v>
      </c>
      <c r="G10" s="11" t="str">
        <f t="shared" si="0"/>
        <v>STANDARD PRICE</v>
      </c>
      <c r="H10" s="11" t="str">
        <f t="shared" si="1"/>
        <v>34</v>
      </c>
      <c r="I10" s="11" t="str">
        <f t="shared" si="2"/>
        <v>CI</v>
      </c>
      <c r="J10" s="11" t="str">
        <f t="shared" si="3"/>
        <v>SEP</v>
      </c>
      <c r="K10" s="11" t="b">
        <f t="shared" si="4"/>
        <v>0</v>
      </c>
      <c r="L10" s="11" t="str">
        <f t="shared" si="10"/>
        <v>9SEP22</v>
      </c>
      <c r="M10" s="11" t="str">
        <f t="shared" si="5"/>
        <v>34</v>
      </c>
      <c r="N10" s="11" t="str">
        <f t="shared" si="6"/>
        <v>Custard (Amul)</v>
      </c>
      <c r="O10" s="11" t="str">
        <f t="shared" si="7"/>
        <v>9</v>
      </c>
      <c r="P10" s="12" t="str">
        <f t="shared" si="11"/>
        <v>22</v>
      </c>
      <c r="Q10" s="12">
        <f t="shared" si="8"/>
        <v>9</v>
      </c>
      <c r="R10" s="28">
        <f t="shared" si="9"/>
        <v>8288</v>
      </c>
    </row>
    <row r="11" spans="1:18" ht="18.75" x14ac:dyDescent="0.3">
      <c r="A11" s="11" t="s">
        <v>95</v>
      </c>
      <c r="B11" s="11" t="s">
        <v>70</v>
      </c>
      <c r="C11" s="11" t="s">
        <v>30</v>
      </c>
      <c r="D11" s="11">
        <v>30</v>
      </c>
      <c r="E11" s="11" t="s">
        <v>12</v>
      </c>
      <c r="F11" s="15">
        <v>12000</v>
      </c>
      <c r="G11" s="11" t="str">
        <f t="shared" si="0"/>
        <v>HIGH PRICE</v>
      </c>
      <c r="H11" s="11" t="str">
        <f t="shared" si="1"/>
        <v>56</v>
      </c>
      <c r="I11" s="11" t="str">
        <f t="shared" si="2"/>
        <v>FR</v>
      </c>
      <c r="J11" s="11" t="str">
        <f t="shared" si="3"/>
        <v>OCT</v>
      </c>
      <c r="K11" s="11" t="b">
        <f t="shared" si="4"/>
        <v>0</v>
      </c>
      <c r="L11" s="11" t="str">
        <f t="shared" si="10"/>
        <v>2OCT24</v>
      </c>
      <c r="M11" s="11" t="str">
        <f t="shared" si="5"/>
        <v>56</v>
      </c>
      <c r="N11" s="11" t="str">
        <f t="shared" si="6"/>
        <v>Desk Chair (Apex)</v>
      </c>
      <c r="O11" s="11" t="str">
        <f t="shared" si="7"/>
        <v>2</v>
      </c>
      <c r="P11" s="12" t="str">
        <f t="shared" si="11"/>
        <v>24</v>
      </c>
      <c r="Q11" s="12">
        <f t="shared" si="8"/>
        <v>10</v>
      </c>
      <c r="R11" s="28">
        <f t="shared" si="9"/>
        <v>9042</v>
      </c>
    </row>
    <row r="12" spans="1:18" ht="18.75" x14ac:dyDescent="0.3">
      <c r="A12" s="11" t="s">
        <v>96</v>
      </c>
      <c r="B12" s="11" t="s">
        <v>31</v>
      </c>
      <c r="C12" s="11" t="s">
        <v>32</v>
      </c>
      <c r="D12" s="11">
        <v>5</v>
      </c>
      <c r="E12" s="11" t="s">
        <v>79</v>
      </c>
      <c r="F12" s="15">
        <v>400</v>
      </c>
      <c r="G12" s="11" t="str">
        <f t="shared" si="0"/>
        <v>STANDARD PRICE</v>
      </c>
      <c r="H12" s="11" t="str">
        <f t="shared" si="1"/>
        <v>23</v>
      </c>
      <c r="I12" s="11" t="str">
        <f t="shared" si="2"/>
        <v>US</v>
      </c>
      <c r="J12" s="11" t="str">
        <f t="shared" si="3"/>
        <v>NOV</v>
      </c>
      <c r="K12" s="11" t="b">
        <f t="shared" si="4"/>
        <v>0</v>
      </c>
      <c r="L12" s="11" t="str">
        <f t="shared" si="10"/>
        <v>1NOV21</v>
      </c>
      <c r="M12" s="11" t="str">
        <f t="shared" si="5"/>
        <v>23</v>
      </c>
      <c r="N12" s="11" t="str">
        <f t="shared" si="6"/>
        <v>Baby Towel (Johnson)</v>
      </c>
      <c r="O12" s="11" t="str">
        <f t="shared" si="7"/>
        <v>1</v>
      </c>
      <c r="P12" s="12" t="str">
        <f t="shared" si="11"/>
        <v>21</v>
      </c>
      <c r="Q12" s="12">
        <f t="shared" si="8"/>
        <v>11</v>
      </c>
      <c r="R12" s="28">
        <f t="shared" si="9"/>
        <v>7976</v>
      </c>
    </row>
    <row r="13" spans="1:18" ht="18.75" x14ac:dyDescent="0.3">
      <c r="A13" s="11" t="s">
        <v>97</v>
      </c>
      <c r="B13" s="11" t="s">
        <v>34</v>
      </c>
      <c r="C13" s="11" t="s">
        <v>19</v>
      </c>
      <c r="D13" s="11">
        <v>30</v>
      </c>
      <c r="E13" s="11" t="s">
        <v>20</v>
      </c>
      <c r="F13" s="15">
        <v>40</v>
      </c>
      <c r="G13" s="11" t="str">
        <f t="shared" si="0"/>
        <v>STANDARD PRICE</v>
      </c>
      <c r="H13" s="11" t="str">
        <f t="shared" si="1"/>
        <v>89</v>
      </c>
      <c r="I13" s="11" t="str">
        <f t="shared" si="2"/>
        <v>IN</v>
      </c>
      <c r="J13" s="11" t="str">
        <f t="shared" si="3"/>
        <v>DEC</v>
      </c>
      <c r="K13" s="11" t="b">
        <f t="shared" si="4"/>
        <v>0</v>
      </c>
      <c r="L13" s="11" t="str">
        <f t="shared" si="10"/>
        <v>2DEC24</v>
      </c>
      <c r="M13" s="11" t="str">
        <f t="shared" si="5"/>
        <v>89</v>
      </c>
      <c r="N13" s="11" t="str">
        <f t="shared" si="6"/>
        <v>Milk (Amul)</v>
      </c>
      <c r="O13" s="11" t="str">
        <f t="shared" si="7"/>
        <v>2</v>
      </c>
      <c r="P13" s="12" t="str">
        <f t="shared" si="11"/>
        <v>24</v>
      </c>
      <c r="Q13" s="12">
        <f t="shared" si="8"/>
        <v>12</v>
      </c>
      <c r="R13" s="28">
        <f t="shared" si="9"/>
        <v>9103</v>
      </c>
    </row>
    <row r="14" spans="1:18" ht="18.75" x14ac:dyDescent="0.3">
      <c r="A14" s="11" t="s">
        <v>98</v>
      </c>
      <c r="B14" s="11" t="s">
        <v>35</v>
      </c>
      <c r="C14" s="11" t="s">
        <v>32</v>
      </c>
      <c r="D14" s="11">
        <v>3</v>
      </c>
      <c r="E14" s="11" t="s">
        <v>79</v>
      </c>
      <c r="F14" s="15">
        <v>220</v>
      </c>
      <c r="G14" s="11" t="str">
        <f t="shared" si="0"/>
        <v>STANDARD PRICE</v>
      </c>
      <c r="H14" s="11" t="str">
        <f t="shared" si="1"/>
        <v>38</v>
      </c>
      <c r="I14" s="11" t="str">
        <f t="shared" si="2"/>
        <v>JO</v>
      </c>
      <c r="J14" s="11" t="str">
        <f t="shared" si="3"/>
        <v>JAN</v>
      </c>
      <c r="K14" s="11" t="b">
        <f t="shared" si="4"/>
        <v>0</v>
      </c>
      <c r="L14" s="11" t="str">
        <f t="shared" si="10"/>
        <v>1JAN24</v>
      </c>
      <c r="M14" s="11" t="str">
        <f t="shared" si="5"/>
        <v>38</v>
      </c>
      <c r="N14" s="11" t="str">
        <f t="shared" si="6"/>
        <v>Baby Comb (Johnson)</v>
      </c>
      <c r="O14" s="11" t="str">
        <f t="shared" si="7"/>
        <v>1</v>
      </c>
      <c r="P14" s="12" t="str">
        <f t="shared" si="11"/>
        <v>24</v>
      </c>
      <c r="Q14" s="12">
        <f t="shared" si="8"/>
        <v>1</v>
      </c>
      <c r="R14" s="28">
        <f t="shared" si="9"/>
        <v>8767</v>
      </c>
    </row>
    <row r="15" spans="1:18" ht="18.75" x14ac:dyDescent="0.3">
      <c r="A15" s="11" t="s">
        <v>99</v>
      </c>
      <c r="B15" s="11" t="s">
        <v>36</v>
      </c>
      <c r="C15" s="11" t="s">
        <v>37</v>
      </c>
      <c r="D15" s="11">
        <v>20</v>
      </c>
      <c r="E15" s="11" t="s">
        <v>12</v>
      </c>
      <c r="F15" s="15">
        <v>130</v>
      </c>
      <c r="G15" s="11" t="str">
        <f t="shared" si="0"/>
        <v>STANDARD PRICE</v>
      </c>
      <c r="H15" s="11" t="str">
        <f t="shared" si="1"/>
        <v>35</v>
      </c>
      <c r="I15" s="11" t="str">
        <f t="shared" si="2"/>
        <v>KE</v>
      </c>
      <c r="J15" s="11" t="str">
        <f t="shared" si="3"/>
        <v>FEB</v>
      </c>
      <c r="K15" s="11" t="b">
        <f t="shared" si="4"/>
        <v>0</v>
      </c>
      <c r="L15" s="11" t="str">
        <f t="shared" si="10"/>
        <v>2FEB22</v>
      </c>
      <c r="M15" s="11" t="str">
        <f t="shared" si="5"/>
        <v>35</v>
      </c>
      <c r="N15" s="11" t="str">
        <f t="shared" si="6"/>
        <v>Mouse (Videocon)</v>
      </c>
      <c r="O15" s="11" t="str">
        <f t="shared" si="7"/>
        <v>2</v>
      </c>
      <c r="P15" s="12" t="str">
        <f t="shared" si="11"/>
        <v>22</v>
      </c>
      <c r="Q15" s="12">
        <f t="shared" si="8"/>
        <v>2</v>
      </c>
      <c r="R15" s="28">
        <f t="shared" si="9"/>
        <v>8069</v>
      </c>
    </row>
    <row r="16" spans="1:18" ht="18.75" x14ac:dyDescent="0.3">
      <c r="A16" s="11" t="s">
        <v>100</v>
      </c>
      <c r="B16" s="11" t="s">
        <v>71</v>
      </c>
      <c r="C16" s="11" t="s">
        <v>39</v>
      </c>
      <c r="D16" s="11">
        <v>50</v>
      </c>
      <c r="E16" s="11" t="s">
        <v>15</v>
      </c>
      <c r="F16" s="15">
        <v>1500</v>
      </c>
      <c r="G16" s="11" t="str">
        <f t="shared" si="0"/>
        <v>HIGH PRICE</v>
      </c>
      <c r="H16" s="11" t="str">
        <f t="shared" si="1"/>
        <v>33</v>
      </c>
      <c r="I16" s="11" t="str">
        <f t="shared" si="2"/>
        <v>FR</v>
      </c>
      <c r="J16" s="11" t="str">
        <f t="shared" si="3"/>
        <v>MAR</v>
      </c>
      <c r="K16" s="11" t="b">
        <f t="shared" si="4"/>
        <v>0</v>
      </c>
      <c r="L16" s="11" t="str">
        <f t="shared" si="10"/>
        <v>3MAR21</v>
      </c>
      <c r="M16" s="11" t="str">
        <f t="shared" si="5"/>
        <v>33</v>
      </c>
      <c r="N16" s="11" t="str">
        <f t="shared" si="6"/>
        <v>Student Chair (Kartell)</v>
      </c>
      <c r="O16" s="11" t="str">
        <f t="shared" si="7"/>
        <v>3</v>
      </c>
      <c r="P16" s="12" t="str">
        <f t="shared" si="11"/>
        <v>21</v>
      </c>
      <c r="Q16" s="12">
        <f t="shared" si="8"/>
        <v>3</v>
      </c>
      <c r="R16" s="28">
        <f t="shared" si="9"/>
        <v>7733</v>
      </c>
    </row>
    <row r="17" spans="1:18" ht="18.75" x14ac:dyDescent="0.3">
      <c r="A17" s="11" t="s">
        <v>101</v>
      </c>
      <c r="B17" s="11" t="s">
        <v>40</v>
      </c>
      <c r="C17" s="11" t="s">
        <v>41</v>
      </c>
      <c r="D17" s="11">
        <v>1</v>
      </c>
      <c r="E17" s="11" t="s">
        <v>79</v>
      </c>
      <c r="F17" s="15">
        <v>800</v>
      </c>
      <c r="G17" s="11" t="str">
        <f t="shared" si="0"/>
        <v>HIGH PRICE</v>
      </c>
      <c r="H17" s="11" t="str">
        <f t="shared" si="1"/>
        <v>78</v>
      </c>
      <c r="I17" s="11" t="str">
        <f t="shared" si="2"/>
        <v>IE</v>
      </c>
      <c r="J17" s="11" t="str">
        <f t="shared" si="3"/>
        <v>APR</v>
      </c>
      <c r="K17" s="11" t="b">
        <f t="shared" si="4"/>
        <v>0</v>
      </c>
      <c r="L17" s="11" t="str">
        <f t="shared" si="10"/>
        <v>4APR20</v>
      </c>
      <c r="M17" s="11" t="str">
        <f t="shared" si="5"/>
        <v>78</v>
      </c>
      <c r="N17" s="11" t="str">
        <f t="shared" si="6"/>
        <v>Baby Walker (dove)</v>
      </c>
      <c r="O17" s="11" t="str">
        <f t="shared" si="7"/>
        <v>4</v>
      </c>
      <c r="P17" s="12" t="str">
        <f t="shared" si="11"/>
        <v>20</v>
      </c>
      <c r="Q17" s="12">
        <f t="shared" si="8"/>
        <v>4</v>
      </c>
      <c r="R17" s="28">
        <f t="shared" si="9"/>
        <v>7400</v>
      </c>
    </row>
    <row r="18" spans="1:18" ht="18.75" x14ac:dyDescent="0.3">
      <c r="A18" s="11" t="s">
        <v>102</v>
      </c>
      <c r="B18" s="11" t="s">
        <v>42</v>
      </c>
      <c r="C18" s="11" t="s">
        <v>43</v>
      </c>
      <c r="D18" s="11">
        <v>23</v>
      </c>
      <c r="E18" s="11" t="s">
        <v>12</v>
      </c>
      <c r="F18" s="15">
        <v>600</v>
      </c>
      <c r="G18" s="11" t="str">
        <f t="shared" si="0"/>
        <v>HIGH PRICE</v>
      </c>
      <c r="H18" s="11" t="str">
        <f t="shared" si="1"/>
        <v>46</v>
      </c>
      <c r="I18" s="11" t="str">
        <f t="shared" si="2"/>
        <v>IN</v>
      </c>
      <c r="J18" s="11" t="str">
        <f t="shared" si="3"/>
        <v>MAY</v>
      </c>
      <c r="K18" s="11" t="b">
        <f t="shared" si="4"/>
        <v>0</v>
      </c>
      <c r="L18" s="11" t="str">
        <f t="shared" si="10"/>
        <v>5MAY22</v>
      </c>
      <c r="M18" s="11" t="str">
        <f t="shared" si="5"/>
        <v>46</v>
      </c>
      <c r="N18" s="11" t="str">
        <f t="shared" si="6"/>
        <v>Headphones (Boat)</v>
      </c>
      <c r="O18" s="11" t="str">
        <f t="shared" si="7"/>
        <v>5</v>
      </c>
      <c r="P18" s="12" t="str">
        <f t="shared" si="11"/>
        <v>22</v>
      </c>
      <c r="Q18" s="12">
        <f t="shared" si="8"/>
        <v>5</v>
      </c>
      <c r="R18" s="28">
        <f t="shared" si="9"/>
        <v>8161</v>
      </c>
    </row>
    <row r="19" spans="1:18" ht="18.75" x14ac:dyDescent="0.3">
      <c r="A19" s="11" t="s">
        <v>103</v>
      </c>
      <c r="B19" s="11" t="s">
        <v>72</v>
      </c>
      <c r="C19" s="11" t="s">
        <v>45</v>
      </c>
      <c r="D19" s="11">
        <v>23</v>
      </c>
      <c r="E19" s="11" t="s">
        <v>15</v>
      </c>
      <c r="F19" s="15">
        <v>2250</v>
      </c>
      <c r="G19" s="11" t="str">
        <f t="shared" si="0"/>
        <v>HIGH PRICE</v>
      </c>
      <c r="H19" s="11" t="str">
        <f t="shared" si="1"/>
        <v>23</v>
      </c>
      <c r="I19" s="11" t="str">
        <f t="shared" si="2"/>
        <v>HT</v>
      </c>
      <c r="J19" s="11" t="str">
        <f t="shared" si="3"/>
        <v>JUN</v>
      </c>
      <c r="K19" s="11" t="b">
        <f t="shared" si="4"/>
        <v>0</v>
      </c>
      <c r="L19" s="11" t="str">
        <f t="shared" si="10"/>
        <v>6JUN22</v>
      </c>
      <c r="M19" s="11" t="str">
        <f t="shared" si="5"/>
        <v>23</v>
      </c>
      <c r="N19" s="11" t="str">
        <f t="shared" si="6"/>
        <v>Standing Desk (Flexispot)</v>
      </c>
      <c r="O19" s="11" t="str">
        <f t="shared" si="7"/>
        <v>6</v>
      </c>
      <c r="P19" s="12" t="str">
        <f t="shared" si="11"/>
        <v>22</v>
      </c>
      <c r="Q19" s="12">
        <f t="shared" si="8"/>
        <v>6</v>
      </c>
      <c r="R19" s="28">
        <f t="shared" si="9"/>
        <v>8193</v>
      </c>
    </row>
    <row r="20" spans="1:18" ht="18.75" x14ac:dyDescent="0.3">
      <c r="A20" s="11" t="s">
        <v>104</v>
      </c>
      <c r="B20" s="11" t="s">
        <v>46</v>
      </c>
      <c r="C20" s="11" t="s">
        <v>47</v>
      </c>
      <c r="D20" s="11">
        <v>3</v>
      </c>
      <c r="E20" s="11" t="s">
        <v>79</v>
      </c>
      <c r="F20" s="15">
        <v>180</v>
      </c>
      <c r="G20" s="11" t="str">
        <f t="shared" si="0"/>
        <v>STANDARD PRICE</v>
      </c>
      <c r="H20" s="11" t="str">
        <f t="shared" si="1"/>
        <v>23</v>
      </c>
      <c r="I20" s="11" t="str">
        <f t="shared" si="2"/>
        <v>CI</v>
      </c>
      <c r="J20" s="11" t="str">
        <f t="shared" si="3"/>
        <v>JUL</v>
      </c>
      <c r="K20" s="11" t="b">
        <f t="shared" si="4"/>
        <v>0</v>
      </c>
      <c r="L20" s="11" t="str">
        <f t="shared" si="10"/>
        <v>7JUL22</v>
      </c>
      <c r="M20" s="11" t="str">
        <f t="shared" si="5"/>
        <v>23</v>
      </c>
      <c r="N20" s="11" t="str">
        <f t="shared" si="6"/>
        <v>Baby Oil (Himalaya)</v>
      </c>
      <c r="O20" s="11" t="str">
        <f t="shared" si="7"/>
        <v>7</v>
      </c>
      <c r="P20" s="12" t="str">
        <f t="shared" si="11"/>
        <v>22</v>
      </c>
      <c r="Q20" s="12">
        <f t="shared" si="8"/>
        <v>7</v>
      </c>
      <c r="R20" s="28">
        <f t="shared" si="9"/>
        <v>8224</v>
      </c>
    </row>
    <row r="21" spans="1:18" ht="18.75" x14ac:dyDescent="0.3">
      <c r="A21" s="11" t="s">
        <v>105</v>
      </c>
      <c r="B21" s="11" t="s">
        <v>48</v>
      </c>
      <c r="C21" s="11" t="s">
        <v>49</v>
      </c>
      <c r="D21" s="11">
        <v>10</v>
      </c>
      <c r="E21" s="11" t="s">
        <v>12</v>
      </c>
      <c r="F21" s="15">
        <v>3000</v>
      </c>
      <c r="G21" s="11" t="str">
        <f t="shared" si="0"/>
        <v>HIGH PRICE</v>
      </c>
      <c r="H21" s="11" t="str">
        <f t="shared" si="1"/>
        <v>92</v>
      </c>
      <c r="I21" s="11" t="str">
        <f t="shared" si="2"/>
        <v>ID</v>
      </c>
      <c r="J21" s="11" t="str">
        <f t="shared" si="3"/>
        <v>AUG</v>
      </c>
      <c r="K21" s="11" t="b">
        <f t="shared" si="4"/>
        <v>0</v>
      </c>
      <c r="L21" s="11" t="str">
        <f t="shared" si="10"/>
        <v>8AUG24</v>
      </c>
      <c r="M21" s="11" t="str">
        <f t="shared" si="5"/>
        <v>92</v>
      </c>
      <c r="N21" s="11" t="str">
        <f t="shared" si="6"/>
        <v>Projector (Canon)</v>
      </c>
      <c r="O21" s="11" t="str">
        <f t="shared" si="7"/>
        <v>8</v>
      </c>
      <c r="P21" s="12" t="str">
        <f t="shared" si="11"/>
        <v>24</v>
      </c>
      <c r="Q21" s="12">
        <f t="shared" si="8"/>
        <v>8</v>
      </c>
      <c r="R21" s="28">
        <f t="shared" si="9"/>
        <v>8987</v>
      </c>
    </row>
    <row r="22" spans="1:18" ht="18.75" x14ac:dyDescent="0.3">
      <c r="A22" s="11" t="s">
        <v>106</v>
      </c>
      <c r="B22" s="11" t="s">
        <v>73</v>
      </c>
      <c r="C22" s="11" t="s">
        <v>45</v>
      </c>
      <c r="D22" s="11">
        <v>13</v>
      </c>
      <c r="E22" s="11" t="s">
        <v>15</v>
      </c>
      <c r="F22" s="15">
        <v>2500</v>
      </c>
      <c r="G22" s="11" t="str">
        <f t="shared" si="0"/>
        <v>HIGH PRICE</v>
      </c>
      <c r="H22" s="11" t="str">
        <f t="shared" si="1"/>
        <v>34</v>
      </c>
      <c r="I22" s="11" t="str">
        <f t="shared" si="2"/>
        <v>IL</v>
      </c>
      <c r="J22" s="11" t="str">
        <f t="shared" si="3"/>
        <v>SEP</v>
      </c>
      <c r="K22" s="11" t="b">
        <f t="shared" si="4"/>
        <v>0</v>
      </c>
      <c r="L22" s="11" t="str">
        <f t="shared" si="10"/>
        <v>9SEP24</v>
      </c>
      <c r="M22" s="11" t="str">
        <f t="shared" si="5"/>
        <v>34</v>
      </c>
      <c r="N22" s="11" t="str">
        <f t="shared" si="6"/>
        <v>Visitor Chair (Flexispot)</v>
      </c>
      <c r="O22" s="11" t="str">
        <f t="shared" si="7"/>
        <v>9</v>
      </c>
      <c r="P22" s="12" t="str">
        <f t="shared" si="11"/>
        <v>24</v>
      </c>
      <c r="Q22" s="12">
        <f t="shared" si="8"/>
        <v>9</v>
      </c>
      <c r="R22" s="28">
        <f t="shared" si="9"/>
        <v>9019</v>
      </c>
    </row>
    <row r="23" spans="1:18" ht="18.75" x14ac:dyDescent="0.3">
      <c r="A23" s="11" t="s">
        <v>107</v>
      </c>
      <c r="B23" s="11" t="s">
        <v>51</v>
      </c>
      <c r="C23" s="11" t="s">
        <v>52</v>
      </c>
      <c r="D23" s="11">
        <v>20</v>
      </c>
      <c r="E23" s="11" t="s">
        <v>20</v>
      </c>
      <c r="F23" s="15">
        <v>320</v>
      </c>
      <c r="G23" s="11" t="str">
        <f t="shared" si="0"/>
        <v>STANDARD PRICE</v>
      </c>
      <c r="H23" s="11" t="str">
        <f t="shared" si="1"/>
        <v>53</v>
      </c>
      <c r="I23" s="11" t="str">
        <f t="shared" si="2"/>
        <v>EU</v>
      </c>
      <c r="J23" s="11" t="str">
        <f t="shared" si="3"/>
        <v>OCT</v>
      </c>
      <c r="K23" s="11" t="b">
        <f t="shared" si="4"/>
        <v>0</v>
      </c>
      <c r="L23" s="11" t="str">
        <f t="shared" si="10"/>
        <v>4OCT26</v>
      </c>
      <c r="M23" s="11" t="str">
        <f t="shared" si="5"/>
        <v>53</v>
      </c>
      <c r="N23" s="11" t="str">
        <f t="shared" si="6"/>
        <v>Cheese (Arla)</v>
      </c>
      <c r="O23" s="11" t="str">
        <f t="shared" si="7"/>
        <v>4</v>
      </c>
      <c r="P23" s="12" t="str">
        <f t="shared" si="11"/>
        <v>26</v>
      </c>
      <c r="Q23" s="12">
        <f t="shared" si="8"/>
        <v>10</v>
      </c>
      <c r="R23" s="28">
        <f t="shared" si="9"/>
        <v>9774</v>
      </c>
    </row>
    <row r="24" spans="1:18" ht="18.75" x14ac:dyDescent="0.3">
      <c r="A24" s="11" t="s">
        <v>108</v>
      </c>
      <c r="B24" s="11" t="s">
        <v>53</v>
      </c>
      <c r="C24" s="11" t="s">
        <v>49</v>
      </c>
      <c r="D24" s="11">
        <v>5</v>
      </c>
      <c r="E24" s="11" t="s">
        <v>12</v>
      </c>
      <c r="F24" s="15">
        <v>7000</v>
      </c>
      <c r="G24" s="11" t="str">
        <f t="shared" si="0"/>
        <v>HIGH PRICE</v>
      </c>
      <c r="H24" s="11" t="str">
        <f t="shared" si="1"/>
        <v>21</v>
      </c>
      <c r="I24" s="11" t="str">
        <f t="shared" si="2"/>
        <v>CI</v>
      </c>
      <c r="J24" s="11" t="str">
        <f t="shared" si="3"/>
        <v>NOV</v>
      </c>
      <c r="K24" s="11" t="b">
        <f t="shared" si="4"/>
        <v>0</v>
      </c>
      <c r="L24" s="11" t="str">
        <f t="shared" si="10"/>
        <v>1NOV25</v>
      </c>
      <c r="M24" s="11" t="str">
        <f t="shared" si="5"/>
        <v>21</v>
      </c>
      <c r="N24" s="11" t="str">
        <f t="shared" si="6"/>
        <v>Printer (Canon)</v>
      </c>
      <c r="O24" s="11" t="str">
        <f t="shared" si="7"/>
        <v>1</v>
      </c>
      <c r="P24" s="12" t="str">
        <f t="shared" si="11"/>
        <v>25</v>
      </c>
      <c r="Q24" s="12">
        <f t="shared" si="8"/>
        <v>11</v>
      </c>
      <c r="R24" s="28">
        <f t="shared" si="9"/>
        <v>9437</v>
      </c>
    </row>
    <row r="25" spans="1:18" ht="18.75" x14ac:dyDescent="0.3">
      <c r="A25" s="11" t="s">
        <v>109</v>
      </c>
      <c r="B25" s="11" t="s">
        <v>74</v>
      </c>
      <c r="C25" s="11" t="s">
        <v>55</v>
      </c>
      <c r="D25" s="11">
        <v>3</v>
      </c>
      <c r="E25" s="11" t="s">
        <v>79</v>
      </c>
      <c r="F25" s="15">
        <v>30</v>
      </c>
      <c r="G25" s="11" t="str">
        <f t="shared" si="0"/>
        <v>STANDARD PRICE</v>
      </c>
      <c r="H25" s="11" t="str">
        <f t="shared" si="1"/>
        <v>80</v>
      </c>
      <c r="I25" s="11" t="str">
        <f t="shared" si="2"/>
        <v>IR</v>
      </c>
      <c r="J25" s="11" t="str">
        <f t="shared" si="3"/>
        <v>DEC</v>
      </c>
      <c r="K25" s="11" t="b">
        <f t="shared" si="4"/>
        <v>0</v>
      </c>
      <c r="L25" s="11" t="str">
        <f t="shared" si="10"/>
        <v>2DEC25</v>
      </c>
      <c r="M25" s="11" t="str">
        <f t="shared" si="5"/>
        <v>80</v>
      </c>
      <c r="N25" s="11" t="str">
        <f t="shared" si="6"/>
        <v>Baby Spoons (mee mee)</v>
      </c>
      <c r="O25" s="11" t="str">
        <f t="shared" si="7"/>
        <v>2</v>
      </c>
      <c r="P25" s="12" t="str">
        <f t="shared" si="11"/>
        <v>25</v>
      </c>
      <c r="Q25" s="12">
        <f t="shared" si="8"/>
        <v>12</v>
      </c>
      <c r="R25" s="28">
        <f t="shared" si="9"/>
        <v>9468</v>
      </c>
    </row>
    <row r="26" spans="1:18" ht="18.75" x14ac:dyDescent="0.3">
      <c r="A26" s="11" t="s">
        <v>110</v>
      </c>
      <c r="B26" s="11" t="s">
        <v>75</v>
      </c>
      <c r="C26" s="11" t="s">
        <v>52</v>
      </c>
      <c r="D26" s="11">
        <v>3</v>
      </c>
      <c r="E26" s="11" t="s">
        <v>20</v>
      </c>
      <c r="F26" s="15">
        <v>60</v>
      </c>
      <c r="G26" s="11" t="str">
        <f t="shared" si="0"/>
        <v>STANDARD PRICE</v>
      </c>
      <c r="H26" s="11" t="str">
        <f t="shared" si="1"/>
        <v>38</v>
      </c>
      <c r="I26" s="11" t="str">
        <f t="shared" si="2"/>
        <v>ID</v>
      </c>
      <c r="J26" s="11" t="str">
        <f t="shared" si="3"/>
        <v>JAN</v>
      </c>
      <c r="K26" s="11" t="b">
        <f t="shared" si="4"/>
        <v>0</v>
      </c>
      <c r="L26" s="11" t="str">
        <f t="shared" si="10"/>
        <v>1JAN24</v>
      </c>
      <c r="M26" s="11" t="str">
        <f t="shared" si="5"/>
        <v>38</v>
      </c>
      <c r="N26" s="11" t="str">
        <f t="shared" si="6"/>
        <v>Milk Powder (Arla)</v>
      </c>
      <c r="O26" s="11" t="str">
        <f t="shared" si="7"/>
        <v>1</v>
      </c>
      <c r="P26" s="12" t="str">
        <f t="shared" si="11"/>
        <v>24</v>
      </c>
      <c r="Q26" s="12">
        <f t="shared" si="8"/>
        <v>1</v>
      </c>
      <c r="R26" s="28">
        <f t="shared" si="9"/>
        <v>8767</v>
      </c>
    </row>
    <row r="27" spans="1:18" ht="18.75" x14ac:dyDescent="0.3">
      <c r="A27" s="11" t="s">
        <v>111</v>
      </c>
      <c r="B27" s="11" t="s">
        <v>31</v>
      </c>
      <c r="C27" s="11" t="s">
        <v>55</v>
      </c>
      <c r="D27" s="11">
        <v>7</v>
      </c>
      <c r="E27" s="11" t="s">
        <v>79</v>
      </c>
      <c r="F27" s="15">
        <v>300</v>
      </c>
      <c r="G27" s="11" t="str">
        <f t="shared" si="0"/>
        <v>STANDARD PRICE</v>
      </c>
      <c r="H27" s="11" t="str">
        <f t="shared" si="1"/>
        <v>35</v>
      </c>
      <c r="I27" s="11" t="str">
        <f t="shared" si="2"/>
        <v>IM</v>
      </c>
      <c r="J27" s="11" t="str">
        <f t="shared" si="3"/>
        <v>FEB</v>
      </c>
      <c r="K27" s="11" t="b">
        <f t="shared" si="4"/>
        <v>0</v>
      </c>
      <c r="L27" s="11" t="str">
        <f t="shared" si="10"/>
        <v>2FEB25</v>
      </c>
      <c r="M27" s="11" t="str">
        <f t="shared" si="5"/>
        <v>35</v>
      </c>
      <c r="N27" s="11" t="str">
        <f t="shared" si="6"/>
        <v>Baby Towel (mee mee)</v>
      </c>
      <c r="O27" s="11" t="str">
        <f t="shared" si="7"/>
        <v>2</v>
      </c>
      <c r="P27" s="12" t="str">
        <f t="shared" si="11"/>
        <v>25</v>
      </c>
      <c r="Q27" s="12">
        <f t="shared" si="8"/>
        <v>2</v>
      </c>
      <c r="R27" s="28">
        <f t="shared" si="9"/>
        <v>9165</v>
      </c>
    </row>
    <row r="28" spans="1:18" ht="18.75" x14ac:dyDescent="0.3">
      <c r="A28" s="11" t="s">
        <v>112</v>
      </c>
      <c r="B28" s="11" t="s">
        <v>76</v>
      </c>
      <c r="C28" s="11" t="s">
        <v>11</v>
      </c>
      <c r="D28" s="11">
        <v>45</v>
      </c>
      <c r="E28" s="11" t="s">
        <v>12</v>
      </c>
      <c r="F28" s="15">
        <v>500</v>
      </c>
      <c r="G28" s="11" t="str">
        <f t="shared" si="0"/>
        <v>HIGH PRICE</v>
      </c>
      <c r="H28" s="11" t="str">
        <f t="shared" si="1"/>
        <v>38</v>
      </c>
      <c r="I28" s="11" t="str">
        <f t="shared" si="2"/>
        <v>JO</v>
      </c>
      <c r="J28" s="11" t="str">
        <f t="shared" si="3"/>
        <v>JAN</v>
      </c>
      <c r="K28" s="11" t="b">
        <f t="shared" si="4"/>
        <v>0</v>
      </c>
      <c r="L28" s="11" t="str">
        <f t="shared" si="10"/>
        <v>1JAN26</v>
      </c>
      <c r="M28" s="11" t="str">
        <f t="shared" si="5"/>
        <v>38</v>
      </c>
      <c r="N28" s="11" t="str">
        <f t="shared" si="6"/>
        <v>Smart Watch (Microsoft)</v>
      </c>
      <c r="O28" s="11" t="str">
        <f t="shared" si="7"/>
        <v>1</v>
      </c>
      <c r="P28" s="12" t="str">
        <f t="shared" si="11"/>
        <v>26</v>
      </c>
      <c r="Q28" s="12">
        <f t="shared" si="8"/>
        <v>1</v>
      </c>
      <c r="R28" s="28">
        <f t="shared" si="9"/>
        <v>9498</v>
      </c>
    </row>
    <row r="29" spans="1:18" ht="18.75" x14ac:dyDescent="0.3">
      <c r="A29" s="11" t="s">
        <v>113</v>
      </c>
      <c r="B29" s="11" t="s">
        <v>58</v>
      </c>
      <c r="C29" s="11" t="s">
        <v>59</v>
      </c>
      <c r="D29" s="11">
        <v>5</v>
      </c>
      <c r="E29" s="11" t="s">
        <v>12</v>
      </c>
      <c r="F29" s="15">
        <v>8000</v>
      </c>
      <c r="G29" s="11" t="str">
        <f t="shared" si="0"/>
        <v>HIGH PRICE</v>
      </c>
      <c r="H29" s="11" t="str">
        <f t="shared" si="1"/>
        <v>35</v>
      </c>
      <c r="I29" s="11" t="str">
        <f t="shared" si="2"/>
        <v>ID</v>
      </c>
      <c r="J29" s="11" t="str">
        <f t="shared" si="3"/>
        <v>FEB</v>
      </c>
      <c r="K29" s="11" t="b">
        <f t="shared" si="4"/>
        <v>0</v>
      </c>
      <c r="L29" s="11" t="str">
        <f t="shared" si="10"/>
        <v>2FEB24</v>
      </c>
      <c r="M29" s="11" t="str">
        <f t="shared" si="5"/>
        <v>35</v>
      </c>
      <c r="N29" s="11" t="str">
        <f t="shared" si="6"/>
        <v>Color Laser Printer (HP)</v>
      </c>
      <c r="O29" s="11" t="str">
        <f t="shared" si="7"/>
        <v>2</v>
      </c>
      <c r="P29" s="12" t="str">
        <f t="shared" si="11"/>
        <v>24</v>
      </c>
      <c r="Q29" s="12">
        <f t="shared" si="8"/>
        <v>2</v>
      </c>
      <c r="R29" s="28">
        <f t="shared" si="9"/>
        <v>8799</v>
      </c>
    </row>
    <row r="30" spans="1:18" ht="18.75" x14ac:dyDescent="0.3">
      <c r="A30" s="11" t="s">
        <v>114</v>
      </c>
      <c r="B30" s="11" t="s">
        <v>77</v>
      </c>
      <c r="C30" s="11" t="s">
        <v>61</v>
      </c>
      <c r="D30" s="11">
        <v>2</v>
      </c>
      <c r="E30" s="11" t="s">
        <v>79</v>
      </c>
      <c r="F30" s="15">
        <v>900</v>
      </c>
      <c r="G30" s="11" t="str">
        <f t="shared" si="0"/>
        <v>HIGH PRICE</v>
      </c>
      <c r="H30" s="11" t="str">
        <f t="shared" si="1"/>
        <v>33</v>
      </c>
      <c r="I30" s="11" t="str">
        <f t="shared" si="2"/>
        <v>JO</v>
      </c>
      <c r="J30" s="11" t="str">
        <f t="shared" si="3"/>
        <v>MAR</v>
      </c>
      <c r="K30" s="11" t="b">
        <f t="shared" si="4"/>
        <v>0</v>
      </c>
      <c r="L30" s="11" t="str">
        <f t="shared" si="10"/>
        <v>3MAR25</v>
      </c>
      <c r="M30" s="11" t="str">
        <f t="shared" si="5"/>
        <v>33</v>
      </c>
      <c r="N30" s="11" t="str">
        <f t="shared" si="6"/>
        <v>Baby Swing (mamaearth)</v>
      </c>
      <c r="O30" s="11" t="str">
        <f t="shared" si="7"/>
        <v>3</v>
      </c>
      <c r="P30" s="12" t="str">
        <f t="shared" si="11"/>
        <v>25</v>
      </c>
      <c r="Q30" s="12">
        <f t="shared" si="8"/>
        <v>3</v>
      </c>
      <c r="R30" s="28">
        <f t="shared" si="9"/>
        <v>9194</v>
      </c>
    </row>
    <row r="31" spans="1:18" ht="18.75" x14ac:dyDescent="0.3">
      <c r="A31" s="11" t="s">
        <v>115</v>
      </c>
      <c r="B31" s="11" t="s">
        <v>78</v>
      </c>
      <c r="C31" s="11" t="s">
        <v>63</v>
      </c>
      <c r="D31" s="11">
        <v>20</v>
      </c>
      <c r="E31" s="11" t="s">
        <v>80</v>
      </c>
      <c r="F31" s="15">
        <v>450</v>
      </c>
      <c r="G31" s="11" t="str">
        <f t="shared" si="0"/>
        <v>STANDARD PRICE</v>
      </c>
      <c r="H31" s="11" t="str">
        <f t="shared" si="1"/>
        <v>30</v>
      </c>
      <c r="I31" s="11" t="str">
        <f t="shared" si="2"/>
        <v>CI</v>
      </c>
      <c r="J31" s="11" t="str">
        <f t="shared" si="3"/>
        <v>APR</v>
      </c>
      <c r="K31" s="11" t="b">
        <f t="shared" si="4"/>
        <v>0</v>
      </c>
      <c r="L31" s="11" t="str">
        <f t="shared" si="10"/>
        <v>4APR26</v>
      </c>
      <c r="M31" s="11" t="str">
        <f t="shared" si="5"/>
        <v>30</v>
      </c>
      <c r="N31" s="11" t="str">
        <f t="shared" si="6"/>
        <v>Pendrive (sandisk)</v>
      </c>
      <c r="O31" s="26" t="str">
        <f t="shared" si="7"/>
        <v>4</v>
      </c>
      <c r="P31" s="14" t="str">
        <f t="shared" si="11"/>
        <v>26</v>
      </c>
      <c r="Q31" s="12">
        <f t="shared" si="8"/>
        <v>4</v>
      </c>
      <c r="R31" s="28">
        <f t="shared" si="9"/>
        <v>9591</v>
      </c>
    </row>
    <row r="32" spans="1:18" x14ac:dyDescent="0.25">
      <c r="C32"/>
    </row>
    <row r="36" spans="11:12" x14ac:dyDescent="0.25">
      <c r="K36" s="27"/>
    </row>
    <row r="37" spans="11:12" x14ac:dyDescent="0.25">
      <c r="L37" s="27"/>
    </row>
    <row r="38" spans="11:12" x14ac:dyDescent="0.25">
      <c r="L38" s="2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77D1-C404-468B-9CE6-453D7929F033}">
  <dimension ref="A1:R38"/>
  <sheetViews>
    <sheetView tabSelected="1" workbookViewId="0">
      <selection activeCell="G17" sqref="G17"/>
    </sheetView>
  </sheetViews>
  <sheetFormatPr defaultRowHeight="15" x14ac:dyDescent="0.25"/>
  <cols>
    <col min="1" max="1" width="28.42578125" style="5" bestFit="1" customWidth="1"/>
    <col min="2" max="2" width="35.42578125" style="5" bestFit="1" customWidth="1"/>
    <col min="3" max="3" width="30.5703125" style="5" bestFit="1" customWidth="1"/>
    <col min="4" max="4" width="24.140625" style="5" bestFit="1" customWidth="1"/>
    <col min="5" max="5" width="28.7109375" style="5" bestFit="1" customWidth="1"/>
    <col min="6" max="6" width="16.42578125" style="5" bestFit="1" customWidth="1"/>
    <col min="7" max="7" width="29.85546875" style="5" bestFit="1" customWidth="1"/>
    <col min="8" max="8" width="13.140625" style="5" bestFit="1" customWidth="1"/>
    <col min="9" max="9" width="34.140625" style="5" bestFit="1" customWidth="1"/>
    <col min="10" max="10" width="21.42578125" style="5" bestFit="1" customWidth="1"/>
    <col min="11" max="11" width="30.85546875" style="5" bestFit="1" customWidth="1"/>
    <col min="12" max="12" width="52.42578125" style="5" bestFit="1" customWidth="1"/>
    <col min="13" max="13" width="38.140625" style="5" bestFit="1" customWidth="1"/>
    <col min="14" max="14" width="45.85546875" style="5" bestFit="1" customWidth="1"/>
    <col min="15" max="15" width="15.28515625" style="5" bestFit="1" customWidth="1"/>
    <col min="16" max="16" width="17.42578125" style="5" bestFit="1" customWidth="1"/>
    <col min="17" max="17" width="13.140625" style="5" customWidth="1"/>
    <col min="18" max="18" width="16.5703125" style="5" bestFit="1" customWidth="1"/>
    <col min="19" max="16384" width="9.140625" style="5"/>
  </cols>
  <sheetData>
    <row r="1" spans="1:18" s="4" customFormat="1" ht="23.25" x14ac:dyDescent="0.35">
      <c r="A1" s="6" t="s">
        <v>0</v>
      </c>
      <c r="B1" s="7" t="s">
        <v>1</v>
      </c>
      <c r="C1" s="7" t="s">
        <v>2</v>
      </c>
      <c r="D1" s="7" t="s">
        <v>3</v>
      </c>
      <c r="E1" s="39" t="s">
        <v>4</v>
      </c>
      <c r="F1" s="29" t="s">
        <v>5</v>
      </c>
      <c r="G1" s="7" t="s">
        <v>6</v>
      </c>
      <c r="H1" s="7" t="s">
        <v>119</v>
      </c>
      <c r="I1" s="7" t="s">
        <v>8</v>
      </c>
      <c r="J1" s="8" t="s">
        <v>9</v>
      </c>
      <c r="K1" s="7" t="s">
        <v>65</v>
      </c>
      <c r="L1" s="7" t="s">
        <v>83</v>
      </c>
      <c r="M1" s="7" t="s">
        <v>84</v>
      </c>
      <c r="N1" s="7" t="s">
        <v>85</v>
      </c>
      <c r="O1" s="7" t="s">
        <v>7</v>
      </c>
      <c r="P1" s="7" t="s">
        <v>118</v>
      </c>
      <c r="Q1" s="7" t="s">
        <v>117</v>
      </c>
      <c r="R1" s="29" t="s">
        <v>116</v>
      </c>
    </row>
    <row r="2" spans="1:18" ht="18.75" x14ac:dyDescent="0.3">
      <c r="A2" s="11" t="s">
        <v>120</v>
      </c>
      <c r="B2" s="11" t="s">
        <v>10</v>
      </c>
      <c r="C2" s="11" t="s">
        <v>11</v>
      </c>
      <c r="D2" s="11">
        <v>20</v>
      </c>
      <c r="E2" s="11" t="s">
        <v>12</v>
      </c>
      <c r="F2" s="15">
        <v>130</v>
      </c>
      <c r="G2" s="11" t="str">
        <f t="shared" ref="G2:G31" si="0">IF(F2&gt;=500,"HIGH PRICE","STANDARD PRICE")</f>
        <v>STANDARD PRICE</v>
      </c>
      <c r="H2" s="11" t="str">
        <f t="shared" ref="H2:H31" si="1">LEFT(A2,2)</f>
        <v>38</v>
      </c>
      <c r="I2" s="11" t="str">
        <f t="shared" ref="I2:I31" si="2">RIGHT(A2,2)</f>
        <v>IN</v>
      </c>
      <c r="J2" s="11" t="str">
        <f t="shared" ref="J2:J31" si="3">MID(A2,5,3)</f>
        <v>JAN</v>
      </c>
      <c r="K2" s="11" t="b">
        <f t="shared" ref="K2:K31" si="4">ISBLANK(F2)</f>
        <v>0</v>
      </c>
      <c r="L2" s="11" t="str">
        <f>MID(A2,4,6)</f>
        <v>1JAN23</v>
      </c>
      <c r="M2" s="11" t="str">
        <f t="shared" ref="M2:M31" si="5">LEFT(A2,2)</f>
        <v>38</v>
      </c>
      <c r="N2" s="11" t="str">
        <f t="shared" ref="N2:N31" si="6">CONCATENATE(B2," (",C2,")")</f>
        <v>Keyboard (Microsoft)</v>
      </c>
      <c r="O2" s="25" t="str">
        <f t="shared" ref="O2:O31" si="7">LEFT(L2,1)</f>
        <v>1</v>
      </c>
      <c r="P2" s="13" t="str">
        <f>RIGHT(L2,2)</f>
        <v>23</v>
      </c>
      <c r="Q2" s="12">
        <f t="shared" ref="Q2:Q31" si="8">MONTH(L2)</f>
        <v>1</v>
      </c>
      <c r="R2" s="28">
        <f t="shared" ref="R2:R31" si="9">DATE(P2,Q2,O2)</f>
        <v>8402</v>
      </c>
    </row>
    <row r="3" spans="1:18" ht="18.75" x14ac:dyDescent="0.3">
      <c r="A3" s="11" t="s">
        <v>86</v>
      </c>
      <c r="B3" s="11" t="s">
        <v>68</v>
      </c>
      <c r="C3" s="11" t="s">
        <v>14</v>
      </c>
      <c r="D3" s="11">
        <v>39</v>
      </c>
      <c r="E3" s="11" t="s">
        <v>15</v>
      </c>
      <c r="F3" s="15">
        <v>600</v>
      </c>
      <c r="G3" s="11" t="str">
        <f t="shared" si="0"/>
        <v>HIGH PRICE</v>
      </c>
      <c r="H3" s="11" t="str">
        <f t="shared" si="1"/>
        <v>35</v>
      </c>
      <c r="I3" s="11" t="str">
        <f t="shared" si="2"/>
        <v>US</v>
      </c>
      <c r="J3" s="11" t="str">
        <f t="shared" si="3"/>
        <v>FEB</v>
      </c>
      <c r="K3" s="11" t="b">
        <f t="shared" si="4"/>
        <v>0</v>
      </c>
      <c r="L3" s="11" t="str">
        <f t="shared" ref="L3:L31" si="10">MID(A3,4,6)</f>
        <v>2FEB22</v>
      </c>
      <c r="M3" s="11" t="str">
        <f t="shared" si="5"/>
        <v>35</v>
      </c>
      <c r="N3" s="11" t="str">
        <f t="shared" si="6"/>
        <v>Lab Chair (Lotus)</v>
      </c>
      <c r="O3" s="11" t="str">
        <f t="shared" si="7"/>
        <v>2</v>
      </c>
      <c r="P3" s="12" t="str">
        <f t="shared" ref="P3:P31" si="11">RIGHT(L3,2)</f>
        <v>22</v>
      </c>
      <c r="Q3" s="12">
        <f t="shared" si="8"/>
        <v>2</v>
      </c>
      <c r="R3" s="28">
        <f t="shared" si="9"/>
        <v>8069</v>
      </c>
    </row>
    <row r="4" spans="1:18" ht="18.75" x14ac:dyDescent="0.3">
      <c r="A4" s="11" t="s">
        <v>88</v>
      </c>
      <c r="B4" s="11" t="s">
        <v>16</v>
      </c>
      <c r="C4" s="11" t="s">
        <v>17</v>
      </c>
      <c r="D4" s="11">
        <v>25</v>
      </c>
      <c r="E4" s="11" t="s">
        <v>12</v>
      </c>
      <c r="F4" s="15">
        <v>2500</v>
      </c>
      <c r="G4" s="11" t="str">
        <f t="shared" si="0"/>
        <v>HIGH PRICE</v>
      </c>
      <c r="H4" s="11" t="str">
        <f t="shared" si="1"/>
        <v>33</v>
      </c>
      <c r="I4" s="11" t="str">
        <f t="shared" si="2"/>
        <v>FR</v>
      </c>
      <c r="J4" s="11" t="str">
        <f t="shared" si="3"/>
        <v>MAR</v>
      </c>
      <c r="K4" s="11" t="b">
        <f t="shared" si="4"/>
        <v>0</v>
      </c>
      <c r="L4" s="11" t="str">
        <f t="shared" si="10"/>
        <v>3MAR23</v>
      </c>
      <c r="M4" s="11" t="str">
        <f t="shared" si="5"/>
        <v>33</v>
      </c>
      <c r="N4" s="11" t="str">
        <f t="shared" si="6"/>
        <v>Monitor (Philips)</v>
      </c>
      <c r="O4" s="11" t="str">
        <f t="shared" si="7"/>
        <v>3</v>
      </c>
      <c r="P4" s="12" t="str">
        <f t="shared" si="11"/>
        <v>23</v>
      </c>
      <c r="Q4" s="12">
        <f t="shared" si="8"/>
        <v>3</v>
      </c>
      <c r="R4" s="28">
        <f t="shared" si="9"/>
        <v>8463</v>
      </c>
    </row>
    <row r="5" spans="1:18" ht="18.75" x14ac:dyDescent="0.3">
      <c r="A5" s="11" t="s">
        <v>89</v>
      </c>
      <c r="B5" s="11" t="s">
        <v>18</v>
      </c>
      <c r="C5" s="11" t="s">
        <v>19</v>
      </c>
      <c r="D5" s="11">
        <v>40</v>
      </c>
      <c r="E5" s="11" t="s">
        <v>20</v>
      </c>
      <c r="F5" s="15">
        <v>160</v>
      </c>
      <c r="G5" s="11" t="str">
        <f t="shared" si="0"/>
        <v>STANDARD PRICE</v>
      </c>
      <c r="H5" s="11" t="str">
        <f t="shared" si="1"/>
        <v>30</v>
      </c>
      <c r="I5" s="11" t="str">
        <f t="shared" si="2"/>
        <v>ER</v>
      </c>
      <c r="J5" s="11" t="str">
        <f t="shared" si="3"/>
        <v>APR</v>
      </c>
      <c r="K5" s="11" t="b">
        <f t="shared" si="4"/>
        <v>0</v>
      </c>
      <c r="L5" s="11" t="str">
        <f t="shared" si="10"/>
        <v>4APR16</v>
      </c>
      <c r="M5" s="11" t="str">
        <f t="shared" si="5"/>
        <v>30</v>
      </c>
      <c r="N5" s="11" t="str">
        <f t="shared" si="6"/>
        <v>Butter (Amul)</v>
      </c>
      <c r="O5" s="11" t="str">
        <f t="shared" si="7"/>
        <v>4</v>
      </c>
      <c r="P5" s="12" t="str">
        <f t="shared" si="11"/>
        <v>16</v>
      </c>
      <c r="Q5" s="12">
        <f t="shared" si="8"/>
        <v>4</v>
      </c>
      <c r="R5" s="28">
        <f t="shared" si="9"/>
        <v>5939</v>
      </c>
    </row>
    <row r="6" spans="1:18" ht="18.75" x14ac:dyDescent="0.3">
      <c r="A6" s="11" t="s">
        <v>90</v>
      </c>
      <c r="B6" s="11" t="s">
        <v>21</v>
      </c>
      <c r="C6" s="11" t="s">
        <v>11</v>
      </c>
      <c r="D6" s="11">
        <v>50</v>
      </c>
      <c r="E6" s="11" t="s">
        <v>12</v>
      </c>
      <c r="F6" s="15">
        <v>45000</v>
      </c>
      <c r="G6" s="11" t="str">
        <f t="shared" si="0"/>
        <v>HIGH PRICE</v>
      </c>
      <c r="H6" s="11" t="str">
        <f t="shared" si="1"/>
        <v>46</v>
      </c>
      <c r="I6" s="11" t="str">
        <f t="shared" si="2"/>
        <v>IS</v>
      </c>
      <c r="J6" s="11" t="str">
        <f t="shared" si="3"/>
        <v>MAY</v>
      </c>
      <c r="K6" s="11" t="b">
        <f t="shared" si="4"/>
        <v>0</v>
      </c>
      <c r="L6" s="11" t="str">
        <f t="shared" si="10"/>
        <v>5MAY24</v>
      </c>
      <c r="M6" s="11" t="str">
        <f t="shared" si="5"/>
        <v>46</v>
      </c>
      <c r="N6" s="11" t="str">
        <f t="shared" si="6"/>
        <v>Laptop (Microsoft)</v>
      </c>
      <c r="O6" s="11" t="str">
        <f t="shared" si="7"/>
        <v>5</v>
      </c>
      <c r="P6" s="12" t="str">
        <f t="shared" si="11"/>
        <v>24</v>
      </c>
      <c r="Q6" s="12">
        <f t="shared" si="8"/>
        <v>5</v>
      </c>
      <c r="R6" s="28">
        <f t="shared" si="9"/>
        <v>8892</v>
      </c>
    </row>
    <row r="7" spans="1:18" ht="18.75" x14ac:dyDescent="0.3">
      <c r="A7" s="11" t="s">
        <v>91</v>
      </c>
      <c r="B7" s="11" t="s">
        <v>22</v>
      </c>
      <c r="C7" s="11" t="s">
        <v>23</v>
      </c>
      <c r="D7" s="11">
        <v>20</v>
      </c>
      <c r="E7" s="11" t="s">
        <v>12</v>
      </c>
      <c r="F7" s="15">
        <v>40000</v>
      </c>
      <c r="G7" s="11" t="str">
        <f t="shared" si="0"/>
        <v>HIGH PRICE</v>
      </c>
      <c r="H7" s="11" t="str">
        <f t="shared" si="1"/>
        <v>23</v>
      </c>
      <c r="I7" s="11" t="str">
        <f t="shared" si="2"/>
        <v>IN</v>
      </c>
      <c r="J7" s="11" t="str">
        <f t="shared" si="3"/>
        <v>JUN</v>
      </c>
      <c r="K7" s="11" t="b">
        <f t="shared" si="4"/>
        <v>0</v>
      </c>
      <c r="L7" s="11" t="str">
        <f t="shared" si="10"/>
        <v>6JUN25</v>
      </c>
      <c r="M7" s="11" t="str">
        <f t="shared" si="5"/>
        <v>23</v>
      </c>
      <c r="N7" s="11" t="str">
        <f t="shared" si="6"/>
        <v>Smartphone (Lenovo)</v>
      </c>
      <c r="O7" s="11" t="str">
        <f t="shared" si="7"/>
        <v>6</v>
      </c>
      <c r="P7" s="12" t="str">
        <f t="shared" si="11"/>
        <v>25</v>
      </c>
      <c r="Q7" s="12">
        <f t="shared" si="8"/>
        <v>6</v>
      </c>
      <c r="R7" s="28">
        <f t="shared" si="9"/>
        <v>9289</v>
      </c>
    </row>
    <row r="8" spans="1:18" ht="18.75" x14ac:dyDescent="0.3">
      <c r="A8" s="11" t="s">
        <v>92</v>
      </c>
      <c r="B8" s="11" t="s">
        <v>69</v>
      </c>
      <c r="C8" s="11" t="s">
        <v>25</v>
      </c>
      <c r="D8" s="11">
        <v>25</v>
      </c>
      <c r="E8" s="11" t="s">
        <v>15</v>
      </c>
      <c r="F8" s="15">
        <v>3600</v>
      </c>
      <c r="G8" s="11" t="str">
        <f t="shared" si="0"/>
        <v>HIGH PRICE</v>
      </c>
      <c r="H8" s="11" t="str">
        <f t="shared" si="1"/>
        <v>23</v>
      </c>
      <c r="I8" s="11" t="str">
        <f t="shared" si="2"/>
        <v>EU</v>
      </c>
      <c r="J8" s="11" t="str">
        <f t="shared" si="3"/>
        <v>JUL</v>
      </c>
      <c r="K8" s="11" t="b">
        <f t="shared" si="4"/>
        <v>0</v>
      </c>
      <c r="L8" s="11" t="str">
        <f t="shared" si="10"/>
        <v>7JUL26</v>
      </c>
      <c r="M8" s="11" t="str">
        <f t="shared" si="5"/>
        <v>23</v>
      </c>
      <c r="N8" s="11" t="str">
        <f t="shared" si="6"/>
        <v>Leather Executive Chair (Cassina)</v>
      </c>
      <c r="O8" s="11" t="str">
        <f t="shared" si="7"/>
        <v>7</v>
      </c>
      <c r="P8" s="12" t="str">
        <f t="shared" si="11"/>
        <v>26</v>
      </c>
      <c r="Q8" s="12">
        <f t="shared" si="8"/>
        <v>7</v>
      </c>
      <c r="R8" s="28">
        <f t="shared" si="9"/>
        <v>9685</v>
      </c>
    </row>
    <row r="9" spans="1:18" ht="18.75" x14ac:dyDescent="0.3">
      <c r="A9" s="11" t="s">
        <v>93</v>
      </c>
      <c r="B9" s="11" t="s">
        <v>26</v>
      </c>
      <c r="C9" s="11" t="s">
        <v>27</v>
      </c>
      <c r="D9" s="11">
        <v>11</v>
      </c>
      <c r="E9" s="11" t="s">
        <v>12</v>
      </c>
      <c r="F9" s="15">
        <v>54000</v>
      </c>
      <c r="G9" s="11" t="str">
        <f t="shared" si="0"/>
        <v>HIGH PRICE</v>
      </c>
      <c r="H9" s="11" t="str">
        <f t="shared" si="1"/>
        <v>92</v>
      </c>
      <c r="I9" s="11" t="str">
        <f t="shared" si="2"/>
        <v>HU</v>
      </c>
      <c r="J9" s="11" t="str">
        <f t="shared" si="3"/>
        <v>AUG</v>
      </c>
      <c r="K9" s="11" t="b">
        <f t="shared" si="4"/>
        <v>0</v>
      </c>
      <c r="L9" s="11" t="str">
        <f t="shared" si="10"/>
        <v>8AUG25</v>
      </c>
      <c r="M9" s="11" t="str">
        <f t="shared" si="5"/>
        <v>92</v>
      </c>
      <c r="N9" s="11" t="str">
        <f t="shared" si="6"/>
        <v>Tablet (Bose)</v>
      </c>
      <c r="O9" s="11" t="str">
        <f t="shared" si="7"/>
        <v>8</v>
      </c>
      <c r="P9" s="12" t="str">
        <f t="shared" si="11"/>
        <v>25</v>
      </c>
      <c r="Q9" s="12">
        <f t="shared" si="8"/>
        <v>8</v>
      </c>
      <c r="R9" s="28">
        <f t="shared" si="9"/>
        <v>9352</v>
      </c>
    </row>
    <row r="10" spans="1:18" ht="18.75" x14ac:dyDescent="0.3">
      <c r="A10" s="11" t="s">
        <v>94</v>
      </c>
      <c r="B10" s="11" t="s">
        <v>28</v>
      </c>
      <c r="C10" s="11" t="s">
        <v>19</v>
      </c>
      <c r="D10" s="11">
        <v>29</v>
      </c>
      <c r="E10" s="11" t="s">
        <v>20</v>
      </c>
      <c r="F10" s="15">
        <v>300</v>
      </c>
      <c r="G10" s="11" t="str">
        <f t="shared" si="0"/>
        <v>STANDARD PRICE</v>
      </c>
      <c r="H10" s="11" t="str">
        <f t="shared" si="1"/>
        <v>34</v>
      </c>
      <c r="I10" s="11" t="str">
        <f t="shared" si="2"/>
        <v>CI</v>
      </c>
      <c r="J10" s="11" t="str">
        <f t="shared" si="3"/>
        <v>SEP</v>
      </c>
      <c r="K10" s="11" t="b">
        <f t="shared" si="4"/>
        <v>0</v>
      </c>
      <c r="L10" s="11" t="str">
        <f t="shared" si="10"/>
        <v>9SEP22</v>
      </c>
      <c r="M10" s="11" t="str">
        <f t="shared" si="5"/>
        <v>34</v>
      </c>
      <c r="N10" s="11" t="str">
        <f t="shared" si="6"/>
        <v>Custard (Amul)</v>
      </c>
      <c r="O10" s="11" t="str">
        <f t="shared" si="7"/>
        <v>9</v>
      </c>
      <c r="P10" s="12" t="str">
        <f t="shared" si="11"/>
        <v>22</v>
      </c>
      <c r="Q10" s="12">
        <f t="shared" si="8"/>
        <v>9</v>
      </c>
      <c r="R10" s="28">
        <f t="shared" si="9"/>
        <v>8288</v>
      </c>
    </row>
    <row r="11" spans="1:18" ht="18.75" x14ac:dyDescent="0.3">
      <c r="A11" s="11" t="s">
        <v>95</v>
      </c>
      <c r="B11" s="11" t="s">
        <v>70</v>
      </c>
      <c r="C11" s="11" t="s">
        <v>30</v>
      </c>
      <c r="D11" s="11">
        <v>30</v>
      </c>
      <c r="E11" s="11" t="s">
        <v>12</v>
      </c>
      <c r="F11" s="15">
        <v>12000</v>
      </c>
      <c r="G11" s="11" t="str">
        <f t="shared" si="0"/>
        <v>HIGH PRICE</v>
      </c>
      <c r="H11" s="11" t="str">
        <f t="shared" si="1"/>
        <v>56</v>
      </c>
      <c r="I11" s="11" t="str">
        <f t="shared" si="2"/>
        <v>FR</v>
      </c>
      <c r="J11" s="11" t="str">
        <f t="shared" si="3"/>
        <v>OCT</v>
      </c>
      <c r="K11" s="11" t="b">
        <f t="shared" si="4"/>
        <v>0</v>
      </c>
      <c r="L11" s="11" t="str">
        <f t="shared" si="10"/>
        <v>2OCT24</v>
      </c>
      <c r="M11" s="11" t="str">
        <f t="shared" si="5"/>
        <v>56</v>
      </c>
      <c r="N11" s="11" t="str">
        <f t="shared" si="6"/>
        <v>Desk Chair (Apex)</v>
      </c>
      <c r="O11" s="11" t="str">
        <f t="shared" si="7"/>
        <v>2</v>
      </c>
      <c r="P11" s="12" t="str">
        <f t="shared" si="11"/>
        <v>24</v>
      </c>
      <c r="Q11" s="12">
        <f t="shared" si="8"/>
        <v>10</v>
      </c>
      <c r="R11" s="28">
        <f t="shared" si="9"/>
        <v>9042</v>
      </c>
    </row>
    <row r="12" spans="1:18" ht="18.75" x14ac:dyDescent="0.3">
      <c r="A12" s="11" t="s">
        <v>96</v>
      </c>
      <c r="B12" s="11" t="s">
        <v>31</v>
      </c>
      <c r="C12" s="11" t="s">
        <v>32</v>
      </c>
      <c r="D12" s="11">
        <v>5</v>
      </c>
      <c r="E12" s="11" t="s">
        <v>79</v>
      </c>
      <c r="F12" s="15">
        <v>400</v>
      </c>
      <c r="G12" s="11" t="str">
        <f t="shared" si="0"/>
        <v>STANDARD PRICE</v>
      </c>
      <c r="H12" s="11" t="str">
        <f t="shared" si="1"/>
        <v>23</v>
      </c>
      <c r="I12" s="11" t="str">
        <f t="shared" si="2"/>
        <v>US</v>
      </c>
      <c r="J12" s="11" t="str">
        <f t="shared" si="3"/>
        <v>NOV</v>
      </c>
      <c r="K12" s="11" t="b">
        <f t="shared" si="4"/>
        <v>0</v>
      </c>
      <c r="L12" s="11" t="str">
        <f t="shared" si="10"/>
        <v>1NOV21</v>
      </c>
      <c r="M12" s="11" t="str">
        <f t="shared" si="5"/>
        <v>23</v>
      </c>
      <c r="N12" s="11" t="str">
        <f t="shared" si="6"/>
        <v>Baby Towel (Johnson)</v>
      </c>
      <c r="O12" s="11" t="str">
        <f t="shared" si="7"/>
        <v>1</v>
      </c>
      <c r="P12" s="12" t="str">
        <f t="shared" si="11"/>
        <v>21</v>
      </c>
      <c r="Q12" s="12">
        <f t="shared" si="8"/>
        <v>11</v>
      </c>
      <c r="R12" s="28">
        <f t="shared" si="9"/>
        <v>7976</v>
      </c>
    </row>
    <row r="13" spans="1:18" ht="18.75" x14ac:dyDescent="0.3">
      <c r="A13" s="11" t="s">
        <v>97</v>
      </c>
      <c r="B13" s="11" t="s">
        <v>34</v>
      </c>
      <c r="C13" s="11" t="s">
        <v>19</v>
      </c>
      <c r="D13" s="11">
        <v>30</v>
      </c>
      <c r="E13" s="11" t="s">
        <v>20</v>
      </c>
      <c r="F13" s="15">
        <v>40</v>
      </c>
      <c r="G13" s="11" t="str">
        <f t="shared" si="0"/>
        <v>STANDARD PRICE</v>
      </c>
      <c r="H13" s="11" t="str">
        <f t="shared" si="1"/>
        <v>89</v>
      </c>
      <c r="I13" s="11" t="str">
        <f t="shared" si="2"/>
        <v>IN</v>
      </c>
      <c r="J13" s="11" t="str">
        <f t="shared" si="3"/>
        <v>DEC</v>
      </c>
      <c r="K13" s="11" t="b">
        <f t="shared" si="4"/>
        <v>0</v>
      </c>
      <c r="L13" s="11" t="str">
        <f t="shared" si="10"/>
        <v>2DEC24</v>
      </c>
      <c r="M13" s="11" t="str">
        <f t="shared" si="5"/>
        <v>89</v>
      </c>
      <c r="N13" s="11" t="str">
        <f t="shared" si="6"/>
        <v>Milk (Amul)</v>
      </c>
      <c r="O13" s="11" t="str">
        <f t="shared" si="7"/>
        <v>2</v>
      </c>
      <c r="P13" s="12" t="str">
        <f t="shared" si="11"/>
        <v>24</v>
      </c>
      <c r="Q13" s="12">
        <f t="shared" si="8"/>
        <v>12</v>
      </c>
      <c r="R13" s="28">
        <f t="shared" si="9"/>
        <v>9103</v>
      </c>
    </row>
    <row r="14" spans="1:18" ht="18.75" x14ac:dyDescent="0.3">
      <c r="A14" s="11" t="s">
        <v>98</v>
      </c>
      <c r="B14" s="11" t="s">
        <v>35</v>
      </c>
      <c r="C14" s="11" t="s">
        <v>32</v>
      </c>
      <c r="D14" s="11">
        <v>3</v>
      </c>
      <c r="E14" s="11" t="s">
        <v>79</v>
      </c>
      <c r="F14" s="15">
        <v>220</v>
      </c>
      <c r="G14" s="11" t="str">
        <f t="shared" si="0"/>
        <v>STANDARD PRICE</v>
      </c>
      <c r="H14" s="11" t="str">
        <f t="shared" si="1"/>
        <v>38</v>
      </c>
      <c r="I14" s="11" t="str">
        <f t="shared" si="2"/>
        <v>JO</v>
      </c>
      <c r="J14" s="11" t="str">
        <f t="shared" si="3"/>
        <v>JAN</v>
      </c>
      <c r="K14" s="11" t="b">
        <f t="shared" si="4"/>
        <v>0</v>
      </c>
      <c r="L14" s="11" t="str">
        <f t="shared" si="10"/>
        <v>1JAN24</v>
      </c>
      <c r="M14" s="11" t="str">
        <f t="shared" si="5"/>
        <v>38</v>
      </c>
      <c r="N14" s="11" t="str">
        <f t="shared" si="6"/>
        <v>Baby Comb (Johnson)</v>
      </c>
      <c r="O14" s="11" t="str">
        <f t="shared" si="7"/>
        <v>1</v>
      </c>
      <c r="P14" s="12" t="str">
        <f t="shared" si="11"/>
        <v>24</v>
      </c>
      <c r="Q14" s="12">
        <f t="shared" si="8"/>
        <v>1</v>
      </c>
      <c r="R14" s="28">
        <f t="shared" si="9"/>
        <v>8767</v>
      </c>
    </row>
    <row r="15" spans="1:18" ht="18.75" x14ac:dyDescent="0.3">
      <c r="A15" s="11" t="s">
        <v>99</v>
      </c>
      <c r="B15" s="11" t="s">
        <v>36</v>
      </c>
      <c r="C15" s="11" t="s">
        <v>37</v>
      </c>
      <c r="D15" s="11">
        <v>20</v>
      </c>
      <c r="E15" s="11" t="s">
        <v>12</v>
      </c>
      <c r="F15" s="15">
        <v>130</v>
      </c>
      <c r="G15" s="11" t="str">
        <f t="shared" si="0"/>
        <v>STANDARD PRICE</v>
      </c>
      <c r="H15" s="11" t="str">
        <f t="shared" si="1"/>
        <v>35</v>
      </c>
      <c r="I15" s="11" t="str">
        <f t="shared" si="2"/>
        <v>KE</v>
      </c>
      <c r="J15" s="11" t="str">
        <f t="shared" si="3"/>
        <v>FEB</v>
      </c>
      <c r="K15" s="11" t="b">
        <f t="shared" si="4"/>
        <v>0</v>
      </c>
      <c r="L15" s="11" t="str">
        <f t="shared" si="10"/>
        <v>2FEB22</v>
      </c>
      <c r="M15" s="11" t="str">
        <f t="shared" si="5"/>
        <v>35</v>
      </c>
      <c r="N15" s="11" t="str">
        <f t="shared" si="6"/>
        <v>Mouse (Videocon)</v>
      </c>
      <c r="O15" s="11" t="str">
        <f t="shared" si="7"/>
        <v>2</v>
      </c>
      <c r="P15" s="12" t="str">
        <f t="shared" si="11"/>
        <v>22</v>
      </c>
      <c r="Q15" s="12">
        <f t="shared" si="8"/>
        <v>2</v>
      </c>
      <c r="R15" s="28">
        <f t="shared" si="9"/>
        <v>8069</v>
      </c>
    </row>
    <row r="16" spans="1:18" ht="18.75" x14ac:dyDescent="0.3">
      <c r="A16" s="11" t="s">
        <v>100</v>
      </c>
      <c r="B16" s="11" t="s">
        <v>71</v>
      </c>
      <c r="C16" s="11" t="s">
        <v>39</v>
      </c>
      <c r="D16" s="11">
        <v>50</v>
      </c>
      <c r="E16" s="11" t="s">
        <v>15</v>
      </c>
      <c r="F16" s="15">
        <v>1500</v>
      </c>
      <c r="G16" s="11" t="str">
        <f t="shared" si="0"/>
        <v>HIGH PRICE</v>
      </c>
      <c r="H16" s="11" t="str">
        <f t="shared" si="1"/>
        <v>33</v>
      </c>
      <c r="I16" s="11" t="str">
        <f t="shared" si="2"/>
        <v>FR</v>
      </c>
      <c r="J16" s="11" t="str">
        <f t="shared" si="3"/>
        <v>MAR</v>
      </c>
      <c r="K16" s="11" t="b">
        <f t="shared" si="4"/>
        <v>0</v>
      </c>
      <c r="L16" s="11" t="str">
        <f t="shared" si="10"/>
        <v>3MAR21</v>
      </c>
      <c r="M16" s="11" t="str">
        <f t="shared" si="5"/>
        <v>33</v>
      </c>
      <c r="N16" s="11" t="str">
        <f t="shared" si="6"/>
        <v>Student Chair (Kartell)</v>
      </c>
      <c r="O16" s="11" t="str">
        <f t="shared" si="7"/>
        <v>3</v>
      </c>
      <c r="P16" s="12" t="str">
        <f t="shared" si="11"/>
        <v>21</v>
      </c>
      <c r="Q16" s="12">
        <f t="shared" si="8"/>
        <v>3</v>
      </c>
      <c r="R16" s="28">
        <f t="shared" si="9"/>
        <v>7733</v>
      </c>
    </row>
    <row r="17" spans="1:18" ht="18.75" x14ac:dyDescent="0.3">
      <c r="A17" s="11" t="s">
        <v>101</v>
      </c>
      <c r="B17" s="11" t="s">
        <v>40</v>
      </c>
      <c r="C17" s="11" t="s">
        <v>41</v>
      </c>
      <c r="D17" s="11">
        <v>1</v>
      </c>
      <c r="E17" s="11" t="s">
        <v>79</v>
      </c>
      <c r="F17" s="15">
        <v>800</v>
      </c>
      <c r="G17" s="11" t="str">
        <f t="shared" si="0"/>
        <v>HIGH PRICE</v>
      </c>
      <c r="H17" s="11" t="str">
        <f t="shared" si="1"/>
        <v>78</v>
      </c>
      <c r="I17" s="11" t="str">
        <f t="shared" si="2"/>
        <v>IE</v>
      </c>
      <c r="J17" s="11" t="str">
        <f t="shared" si="3"/>
        <v>APR</v>
      </c>
      <c r="K17" s="11" t="b">
        <f t="shared" si="4"/>
        <v>0</v>
      </c>
      <c r="L17" s="11" t="str">
        <f t="shared" si="10"/>
        <v>4APR20</v>
      </c>
      <c r="M17" s="11" t="str">
        <f t="shared" si="5"/>
        <v>78</v>
      </c>
      <c r="N17" s="11" t="str">
        <f t="shared" si="6"/>
        <v>Baby Walker (dove)</v>
      </c>
      <c r="O17" s="11" t="str">
        <f t="shared" si="7"/>
        <v>4</v>
      </c>
      <c r="P17" s="12" t="str">
        <f t="shared" si="11"/>
        <v>20</v>
      </c>
      <c r="Q17" s="12">
        <f t="shared" si="8"/>
        <v>4</v>
      </c>
      <c r="R17" s="28">
        <f t="shared" si="9"/>
        <v>7400</v>
      </c>
    </row>
    <row r="18" spans="1:18" ht="18.75" x14ac:dyDescent="0.3">
      <c r="A18" s="11" t="s">
        <v>102</v>
      </c>
      <c r="B18" s="11" t="s">
        <v>42</v>
      </c>
      <c r="C18" s="11" t="s">
        <v>43</v>
      </c>
      <c r="D18" s="11">
        <v>23</v>
      </c>
      <c r="E18" s="11" t="s">
        <v>12</v>
      </c>
      <c r="F18" s="15">
        <v>600</v>
      </c>
      <c r="G18" s="11" t="str">
        <f t="shared" si="0"/>
        <v>HIGH PRICE</v>
      </c>
      <c r="H18" s="11" t="str">
        <f t="shared" si="1"/>
        <v>46</v>
      </c>
      <c r="I18" s="11" t="str">
        <f t="shared" si="2"/>
        <v>IN</v>
      </c>
      <c r="J18" s="11" t="str">
        <f t="shared" si="3"/>
        <v>MAY</v>
      </c>
      <c r="K18" s="11" t="b">
        <f t="shared" si="4"/>
        <v>0</v>
      </c>
      <c r="L18" s="11" t="str">
        <f t="shared" si="10"/>
        <v>5MAY22</v>
      </c>
      <c r="M18" s="11" t="str">
        <f t="shared" si="5"/>
        <v>46</v>
      </c>
      <c r="N18" s="11" t="str">
        <f t="shared" si="6"/>
        <v>Headphones (Boat)</v>
      </c>
      <c r="O18" s="11" t="str">
        <f t="shared" si="7"/>
        <v>5</v>
      </c>
      <c r="P18" s="12" t="str">
        <f t="shared" si="11"/>
        <v>22</v>
      </c>
      <c r="Q18" s="12">
        <f t="shared" si="8"/>
        <v>5</v>
      </c>
      <c r="R18" s="28">
        <f t="shared" si="9"/>
        <v>8161</v>
      </c>
    </row>
    <row r="19" spans="1:18" ht="18.75" x14ac:dyDescent="0.3">
      <c r="A19" s="11" t="s">
        <v>103</v>
      </c>
      <c r="B19" s="11" t="s">
        <v>72</v>
      </c>
      <c r="C19" s="11" t="s">
        <v>45</v>
      </c>
      <c r="D19" s="11">
        <v>23</v>
      </c>
      <c r="E19" s="11" t="s">
        <v>15</v>
      </c>
      <c r="F19" s="15">
        <v>2250</v>
      </c>
      <c r="G19" s="11" t="str">
        <f t="shared" si="0"/>
        <v>HIGH PRICE</v>
      </c>
      <c r="H19" s="11" t="str">
        <f t="shared" si="1"/>
        <v>23</v>
      </c>
      <c r="I19" s="11" t="str">
        <f t="shared" si="2"/>
        <v>HT</v>
      </c>
      <c r="J19" s="11" t="str">
        <f t="shared" si="3"/>
        <v>JUN</v>
      </c>
      <c r="K19" s="11" t="b">
        <f t="shared" si="4"/>
        <v>0</v>
      </c>
      <c r="L19" s="11" t="str">
        <f t="shared" si="10"/>
        <v>6JUN22</v>
      </c>
      <c r="M19" s="11" t="str">
        <f t="shared" si="5"/>
        <v>23</v>
      </c>
      <c r="N19" s="11" t="str">
        <f t="shared" si="6"/>
        <v>Standing Desk (Flexispot)</v>
      </c>
      <c r="O19" s="11" t="str">
        <f t="shared" si="7"/>
        <v>6</v>
      </c>
      <c r="P19" s="12" t="str">
        <f t="shared" si="11"/>
        <v>22</v>
      </c>
      <c r="Q19" s="12">
        <f t="shared" si="8"/>
        <v>6</v>
      </c>
      <c r="R19" s="28">
        <f t="shared" si="9"/>
        <v>8193</v>
      </c>
    </row>
    <row r="20" spans="1:18" ht="18.75" x14ac:dyDescent="0.3">
      <c r="A20" s="11" t="s">
        <v>104</v>
      </c>
      <c r="B20" s="11" t="s">
        <v>46</v>
      </c>
      <c r="C20" s="11" t="s">
        <v>47</v>
      </c>
      <c r="D20" s="11">
        <v>3</v>
      </c>
      <c r="E20" s="11" t="s">
        <v>79</v>
      </c>
      <c r="F20" s="15">
        <v>180</v>
      </c>
      <c r="G20" s="11" t="str">
        <f t="shared" si="0"/>
        <v>STANDARD PRICE</v>
      </c>
      <c r="H20" s="11" t="str">
        <f t="shared" si="1"/>
        <v>23</v>
      </c>
      <c r="I20" s="11" t="str">
        <f t="shared" si="2"/>
        <v>CI</v>
      </c>
      <c r="J20" s="11" t="str">
        <f t="shared" si="3"/>
        <v>JUL</v>
      </c>
      <c r="K20" s="11" t="b">
        <f t="shared" si="4"/>
        <v>0</v>
      </c>
      <c r="L20" s="11" t="str">
        <f t="shared" si="10"/>
        <v>7JUL22</v>
      </c>
      <c r="M20" s="11" t="str">
        <f t="shared" si="5"/>
        <v>23</v>
      </c>
      <c r="N20" s="11" t="str">
        <f t="shared" si="6"/>
        <v>Baby Oil (Himalaya)</v>
      </c>
      <c r="O20" s="11" t="str">
        <f t="shared" si="7"/>
        <v>7</v>
      </c>
      <c r="P20" s="12" t="str">
        <f t="shared" si="11"/>
        <v>22</v>
      </c>
      <c r="Q20" s="12">
        <f t="shared" si="8"/>
        <v>7</v>
      </c>
      <c r="R20" s="28">
        <f t="shared" si="9"/>
        <v>8224</v>
      </c>
    </row>
    <row r="21" spans="1:18" ht="18.75" x14ac:dyDescent="0.3">
      <c r="A21" s="11" t="s">
        <v>105</v>
      </c>
      <c r="B21" s="11" t="s">
        <v>48</v>
      </c>
      <c r="C21" s="11" t="s">
        <v>49</v>
      </c>
      <c r="D21" s="11">
        <v>10</v>
      </c>
      <c r="E21" s="11" t="s">
        <v>12</v>
      </c>
      <c r="F21" s="15">
        <v>3000</v>
      </c>
      <c r="G21" s="11" t="str">
        <f t="shared" si="0"/>
        <v>HIGH PRICE</v>
      </c>
      <c r="H21" s="11" t="str">
        <f t="shared" si="1"/>
        <v>92</v>
      </c>
      <c r="I21" s="11" t="str">
        <f t="shared" si="2"/>
        <v>ID</v>
      </c>
      <c r="J21" s="11" t="str">
        <f t="shared" si="3"/>
        <v>AUG</v>
      </c>
      <c r="K21" s="11" t="b">
        <f t="shared" si="4"/>
        <v>0</v>
      </c>
      <c r="L21" s="11" t="str">
        <f t="shared" si="10"/>
        <v>8AUG24</v>
      </c>
      <c r="M21" s="11" t="str">
        <f t="shared" si="5"/>
        <v>92</v>
      </c>
      <c r="N21" s="11" t="str">
        <f t="shared" si="6"/>
        <v>Projector (Canon)</v>
      </c>
      <c r="O21" s="11" t="str">
        <f t="shared" si="7"/>
        <v>8</v>
      </c>
      <c r="P21" s="12" t="str">
        <f t="shared" si="11"/>
        <v>24</v>
      </c>
      <c r="Q21" s="12">
        <f t="shared" si="8"/>
        <v>8</v>
      </c>
      <c r="R21" s="28">
        <f t="shared" si="9"/>
        <v>8987</v>
      </c>
    </row>
    <row r="22" spans="1:18" ht="18.75" x14ac:dyDescent="0.3">
      <c r="A22" s="11" t="s">
        <v>106</v>
      </c>
      <c r="B22" s="11" t="s">
        <v>73</v>
      </c>
      <c r="C22" s="11" t="s">
        <v>45</v>
      </c>
      <c r="D22" s="11">
        <v>13</v>
      </c>
      <c r="E22" s="11" t="s">
        <v>15</v>
      </c>
      <c r="F22" s="15">
        <v>2500</v>
      </c>
      <c r="G22" s="11" t="str">
        <f t="shared" si="0"/>
        <v>HIGH PRICE</v>
      </c>
      <c r="H22" s="11" t="str">
        <f t="shared" si="1"/>
        <v>34</v>
      </c>
      <c r="I22" s="11" t="str">
        <f t="shared" si="2"/>
        <v>IL</v>
      </c>
      <c r="J22" s="11" t="str">
        <f t="shared" si="3"/>
        <v>SEP</v>
      </c>
      <c r="K22" s="11" t="b">
        <f t="shared" si="4"/>
        <v>0</v>
      </c>
      <c r="L22" s="11" t="str">
        <f t="shared" si="10"/>
        <v>9SEP24</v>
      </c>
      <c r="M22" s="11" t="str">
        <f t="shared" si="5"/>
        <v>34</v>
      </c>
      <c r="N22" s="11" t="str">
        <f t="shared" si="6"/>
        <v>Visitor Chair (Flexispot)</v>
      </c>
      <c r="O22" s="11" t="str">
        <f t="shared" si="7"/>
        <v>9</v>
      </c>
      <c r="P22" s="12" t="str">
        <f t="shared" si="11"/>
        <v>24</v>
      </c>
      <c r="Q22" s="12">
        <f t="shared" si="8"/>
        <v>9</v>
      </c>
      <c r="R22" s="28">
        <f t="shared" si="9"/>
        <v>9019</v>
      </c>
    </row>
    <row r="23" spans="1:18" ht="18.75" x14ac:dyDescent="0.3">
      <c r="A23" s="11" t="s">
        <v>107</v>
      </c>
      <c r="B23" s="11" t="s">
        <v>51</v>
      </c>
      <c r="C23" s="11" t="s">
        <v>52</v>
      </c>
      <c r="D23" s="11">
        <v>20</v>
      </c>
      <c r="E23" s="11" t="s">
        <v>20</v>
      </c>
      <c r="F23" s="15">
        <v>320</v>
      </c>
      <c r="G23" s="11" t="str">
        <f t="shared" si="0"/>
        <v>STANDARD PRICE</v>
      </c>
      <c r="H23" s="11" t="str">
        <f t="shared" si="1"/>
        <v>53</v>
      </c>
      <c r="I23" s="11" t="str">
        <f t="shared" si="2"/>
        <v>EU</v>
      </c>
      <c r="J23" s="11" t="str">
        <f t="shared" si="3"/>
        <v>OCT</v>
      </c>
      <c r="K23" s="11" t="b">
        <f t="shared" si="4"/>
        <v>0</v>
      </c>
      <c r="L23" s="11" t="str">
        <f t="shared" si="10"/>
        <v>4OCT26</v>
      </c>
      <c r="M23" s="11" t="str">
        <f t="shared" si="5"/>
        <v>53</v>
      </c>
      <c r="N23" s="11" t="str">
        <f t="shared" si="6"/>
        <v>Cheese (Arla)</v>
      </c>
      <c r="O23" s="11" t="str">
        <f t="shared" si="7"/>
        <v>4</v>
      </c>
      <c r="P23" s="12" t="str">
        <f t="shared" si="11"/>
        <v>26</v>
      </c>
      <c r="Q23" s="12">
        <f t="shared" si="8"/>
        <v>10</v>
      </c>
      <c r="R23" s="28">
        <f t="shared" si="9"/>
        <v>9774</v>
      </c>
    </row>
    <row r="24" spans="1:18" ht="18.75" x14ac:dyDescent="0.3">
      <c r="A24" s="11" t="s">
        <v>108</v>
      </c>
      <c r="B24" s="11" t="s">
        <v>53</v>
      </c>
      <c r="C24" s="11" t="s">
        <v>49</v>
      </c>
      <c r="D24" s="11">
        <v>5</v>
      </c>
      <c r="E24" s="11" t="s">
        <v>12</v>
      </c>
      <c r="F24" s="15">
        <v>7000</v>
      </c>
      <c r="G24" s="11" t="str">
        <f t="shared" si="0"/>
        <v>HIGH PRICE</v>
      </c>
      <c r="H24" s="11" t="str">
        <f t="shared" si="1"/>
        <v>21</v>
      </c>
      <c r="I24" s="11" t="str">
        <f t="shared" si="2"/>
        <v>CI</v>
      </c>
      <c r="J24" s="11" t="str">
        <f t="shared" si="3"/>
        <v>NOV</v>
      </c>
      <c r="K24" s="11" t="b">
        <f t="shared" si="4"/>
        <v>0</v>
      </c>
      <c r="L24" s="11" t="str">
        <f t="shared" si="10"/>
        <v>1NOV25</v>
      </c>
      <c r="M24" s="11" t="str">
        <f t="shared" si="5"/>
        <v>21</v>
      </c>
      <c r="N24" s="11" t="str">
        <f t="shared" si="6"/>
        <v>Printer (Canon)</v>
      </c>
      <c r="O24" s="11" t="str">
        <f t="shared" si="7"/>
        <v>1</v>
      </c>
      <c r="P24" s="12" t="str">
        <f t="shared" si="11"/>
        <v>25</v>
      </c>
      <c r="Q24" s="12">
        <f t="shared" si="8"/>
        <v>11</v>
      </c>
      <c r="R24" s="28">
        <f t="shared" si="9"/>
        <v>9437</v>
      </c>
    </row>
    <row r="25" spans="1:18" ht="18.75" x14ac:dyDescent="0.3">
      <c r="A25" s="11" t="s">
        <v>109</v>
      </c>
      <c r="B25" s="11" t="s">
        <v>74</v>
      </c>
      <c r="C25" s="11" t="s">
        <v>55</v>
      </c>
      <c r="D25" s="11">
        <v>3</v>
      </c>
      <c r="E25" s="11" t="s">
        <v>79</v>
      </c>
      <c r="F25" s="15">
        <v>30</v>
      </c>
      <c r="G25" s="11" t="str">
        <f t="shared" si="0"/>
        <v>STANDARD PRICE</v>
      </c>
      <c r="H25" s="11" t="str">
        <f t="shared" si="1"/>
        <v>80</v>
      </c>
      <c r="I25" s="11" t="str">
        <f t="shared" si="2"/>
        <v>IR</v>
      </c>
      <c r="J25" s="11" t="str">
        <f t="shared" si="3"/>
        <v>DEC</v>
      </c>
      <c r="K25" s="11" t="b">
        <f t="shared" si="4"/>
        <v>0</v>
      </c>
      <c r="L25" s="11" t="str">
        <f t="shared" si="10"/>
        <v>2DEC25</v>
      </c>
      <c r="M25" s="11" t="str">
        <f t="shared" si="5"/>
        <v>80</v>
      </c>
      <c r="N25" s="11" t="str">
        <f t="shared" si="6"/>
        <v>Baby Spoons (mee mee)</v>
      </c>
      <c r="O25" s="11" t="str">
        <f t="shared" si="7"/>
        <v>2</v>
      </c>
      <c r="P25" s="12" t="str">
        <f t="shared" si="11"/>
        <v>25</v>
      </c>
      <c r="Q25" s="12">
        <f t="shared" si="8"/>
        <v>12</v>
      </c>
      <c r="R25" s="28">
        <f t="shared" si="9"/>
        <v>9468</v>
      </c>
    </row>
    <row r="26" spans="1:18" ht="18.75" x14ac:dyDescent="0.3">
      <c r="A26" s="11" t="s">
        <v>110</v>
      </c>
      <c r="B26" s="11" t="s">
        <v>75</v>
      </c>
      <c r="C26" s="11" t="s">
        <v>52</v>
      </c>
      <c r="D26" s="11">
        <v>3</v>
      </c>
      <c r="E26" s="11" t="s">
        <v>20</v>
      </c>
      <c r="F26" s="15">
        <v>60</v>
      </c>
      <c r="G26" s="11" t="str">
        <f t="shared" si="0"/>
        <v>STANDARD PRICE</v>
      </c>
      <c r="H26" s="11" t="str">
        <f t="shared" si="1"/>
        <v>38</v>
      </c>
      <c r="I26" s="11" t="str">
        <f t="shared" si="2"/>
        <v>ID</v>
      </c>
      <c r="J26" s="11" t="str">
        <f t="shared" si="3"/>
        <v>JAN</v>
      </c>
      <c r="K26" s="11" t="b">
        <f t="shared" si="4"/>
        <v>0</v>
      </c>
      <c r="L26" s="11" t="str">
        <f t="shared" si="10"/>
        <v>1JAN24</v>
      </c>
      <c r="M26" s="11" t="str">
        <f t="shared" si="5"/>
        <v>38</v>
      </c>
      <c r="N26" s="11" t="str">
        <f t="shared" si="6"/>
        <v>Milk Powder (Arla)</v>
      </c>
      <c r="O26" s="11" t="str">
        <f t="shared" si="7"/>
        <v>1</v>
      </c>
      <c r="P26" s="12" t="str">
        <f t="shared" si="11"/>
        <v>24</v>
      </c>
      <c r="Q26" s="12">
        <f t="shared" si="8"/>
        <v>1</v>
      </c>
      <c r="R26" s="28">
        <f t="shared" si="9"/>
        <v>8767</v>
      </c>
    </row>
    <row r="27" spans="1:18" ht="18.75" x14ac:dyDescent="0.3">
      <c r="A27" s="11" t="s">
        <v>111</v>
      </c>
      <c r="B27" s="11" t="s">
        <v>31</v>
      </c>
      <c r="C27" s="11" t="s">
        <v>55</v>
      </c>
      <c r="D27" s="11">
        <v>7</v>
      </c>
      <c r="E27" s="11" t="s">
        <v>79</v>
      </c>
      <c r="F27" s="15">
        <v>300</v>
      </c>
      <c r="G27" s="11" t="str">
        <f t="shared" si="0"/>
        <v>STANDARD PRICE</v>
      </c>
      <c r="H27" s="11" t="str">
        <f t="shared" si="1"/>
        <v>35</v>
      </c>
      <c r="I27" s="11" t="str">
        <f t="shared" si="2"/>
        <v>IM</v>
      </c>
      <c r="J27" s="11" t="str">
        <f t="shared" si="3"/>
        <v>FEB</v>
      </c>
      <c r="K27" s="11" t="b">
        <f t="shared" si="4"/>
        <v>0</v>
      </c>
      <c r="L27" s="11" t="str">
        <f t="shared" si="10"/>
        <v>2FEB25</v>
      </c>
      <c r="M27" s="11" t="str">
        <f t="shared" si="5"/>
        <v>35</v>
      </c>
      <c r="N27" s="11" t="str">
        <f t="shared" si="6"/>
        <v>Baby Towel (mee mee)</v>
      </c>
      <c r="O27" s="11" t="str">
        <f t="shared" si="7"/>
        <v>2</v>
      </c>
      <c r="P27" s="12" t="str">
        <f t="shared" si="11"/>
        <v>25</v>
      </c>
      <c r="Q27" s="12">
        <f t="shared" si="8"/>
        <v>2</v>
      </c>
      <c r="R27" s="28">
        <f t="shared" si="9"/>
        <v>9165</v>
      </c>
    </row>
    <row r="28" spans="1:18" ht="18.75" x14ac:dyDescent="0.3">
      <c r="A28" s="11" t="s">
        <v>112</v>
      </c>
      <c r="B28" s="11" t="s">
        <v>76</v>
      </c>
      <c r="C28" s="11" t="s">
        <v>11</v>
      </c>
      <c r="D28" s="11">
        <v>45</v>
      </c>
      <c r="E28" s="11" t="s">
        <v>12</v>
      </c>
      <c r="F28" s="15">
        <v>500</v>
      </c>
      <c r="G28" s="11" t="str">
        <f t="shared" si="0"/>
        <v>HIGH PRICE</v>
      </c>
      <c r="H28" s="11" t="str">
        <f t="shared" si="1"/>
        <v>38</v>
      </c>
      <c r="I28" s="11" t="str">
        <f t="shared" si="2"/>
        <v>JO</v>
      </c>
      <c r="J28" s="11" t="str">
        <f t="shared" si="3"/>
        <v>JAN</v>
      </c>
      <c r="K28" s="11" t="b">
        <f t="shared" si="4"/>
        <v>0</v>
      </c>
      <c r="L28" s="11" t="str">
        <f t="shared" si="10"/>
        <v>1JAN26</v>
      </c>
      <c r="M28" s="11" t="str">
        <f t="shared" si="5"/>
        <v>38</v>
      </c>
      <c r="N28" s="11" t="str">
        <f t="shared" si="6"/>
        <v>Smart Watch (Microsoft)</v>
      </c>
      <c r="O28" s="11" t="str">
        <f t="shared" si="7"/>
        <v>1</v>
      </c>
      <c r="P28" s="12" t="str">
        <f t="shared" si="11"/>
        <v>26</v>
      </c>
      <c r="Q28" s="12">
        <f t="shared" si="8"/>
        <v>1</v>
      </c>
      <c r="R28" s="28">
        <f t="shared" si="9"/>
        <v>9498</v>
      </c>
    </row>
    <row r="29" spans="1:18" ht="18.75" x14ac:dyDescent="0.3">
      <c r="A29" s="11" t="s">
        <v>113</v>
      </c>
      <c r="B29" s="11" t="s">
        <v>58</v>
      </c>
      <c r="C29" s="11" t="s">
        <v>59</v>
      </c>
      <c r="D29" s="11">
        <v>5</v>
      </c>
      <c r="E29" s="11" t="s">
        <v>12</v>
      </c>
      <c r="F29" s="15">
        <v>8000</v>
      </c>
      <c r="G29" s="11" t="str">
        <f t="shared" si="0"/>
        <v>HIGH PRICE</v>
      </c>
      <c r="H29" s="11" t="str">
        <f t="shared" si="1"/>
        <v>35</v>
      </c>
      <c r="I29" s="11" t="str">
        <f t="shared" si="2"/>
        <v>ID</v>
      </c>
      <c r="J29" s="11" t="str">
        <f t="shared" si="3"/>
        <v>FEB</v>
      </c>
      <c r="K29" s="11" t="b">
        <f t="shared" si="4"/>
        <v>0</v>
      </c>
      <c r="L29" s="11" t="str">
        <f t="shared" si="10"/>
        <v>2FEB24</v>
      </c>
      <c r="M29" s="11" t="str">
        <f t="shared" si="5"/>
        <v>35</v>
      </c>
      <c r="N29" s="11" t="str">
        <f t="shared" si="6"/>
        <v>Color Laser Printer (HP)</v>
      </c>
      <c r="O29" s="11" t="str">
        <f t="shared" si="7"/>
        <v>2</v>
      </c>
      <c r="P29" s="12" t="str">
        <f t="shared" si="11"/>
        <v>24</v>
      </c>
      <c r="Q29" s="12">
        <f t="shared" si="8"/>
        <v>2</v>
      </c>
      <c r="R29" s="28">
        <f t="shared" si="9"/>
        <v>8799</v>
      </c>
    </row>
    <row r="30" spans="1:18" ht="18.75" x14ac:dyDescent="0.3">
      <c r="A30" s="11" t="s">
        <v>114</v>
      </c>
      <c r="B30" s="11" t="s">
        <v>77</v>
      </c>
      <c r="C30" s="11" t="s">
        <v>61</v>
      </c>
      <c r="D30" s="11">
        <v>2</v>
      </c>
      <c r="E30" s="11" t="s">
        <v>79</v>
      </c>
      <c r="F30" s="15">
        <v>900</v>
      </c>
      <c r="G30" s="11" t="str">
        <f t="shared" si="0"/>
        <v>HIGH PRICE</v>
      </c>
      <c r="H30" s="11" t="str">
        <f t="shared" si="1"/>
        <v>33</v>
      </c>
      <c r="I30" s="11" t="str">
        <f t="shared" si="2"/>
        <v>JO</v>
      </c>
      <c r="J30" s="11" t="str">
        <f t="shared" si="3"/>
        <v>MAR</v>
      </c>
      <c r="K30" s="11" t="b">
        <f t="shared" si="4"/>
        <v>0</v>
      </c>
      <c r="L30" s="11" t="str">
        <f t="shared" si="10"/>
        <v>3MAR25</v>
      </c>
      <c r="M30" s="11" t="str">
        <f t="shared" si="5"/>
        <v>33</v>
      </c>
      <c r="N30" s="11" t="str">
        <f t="shared" si="6"/>
        <v>Baby Swing (mamaearth)</v>
      </c>
      <c r="O30" s="11" t="str">
        <f t="shared" si="7"/>
        <v>3</v>
      </c>
      <c r="P30" s="12" t="str">
        <f t="shared" si="11"/>
        <v>25</v>
      </c>
      <c r="Q30" s="12">
        <f t="shared" si="8"/>
        <v>3</v>
      </c>
      <c r="R30" s="28">
        <f t="shared" si="9"/>
        <v>9194</v>
      </c>
    </row>
    <row r="31" spans="1:18" ht="18.75" x14ac:dyDescent="0.3">
      <c r="A31" s="11" t="s">
        <v>115</v>
      </c>
      <c r="B31" s="11" t="s">
        <v>78</v>
      </c>
      <c r="C31" s="11" t="s">
        <v>63</v>
      </c>
      <c r="D31" s="11">
        <v>20</v>
      </c>
      <c r="E31" s="11" t="s">
        <v>80</v>
      </c>
      <c r="F31" s="15">
        <v>450</v>
      </c>
      <c r="G31" s="11" t="str">
        <f t="shared" si="0"/>
        <v>STANDARD PRICE</v>
      </c>
      <c r="H31" s="11" t="str">
        <f t="shared" si="1"/>
        <v>30</v>
      </c>
      <c r="I31" s="11" t="str">
        <f t="shared" si="2"/>
        <v>CI</v>
      </c>
      <c r="J31" s="11" t="str">
        <f t="shared" si="3"/>
        <v>APR</v>
      </c>
      <c r="K31" s="11" t="b">
        <f t="shared" si="4"/>
        <v>0</v>
      </c>
      <c r="L31" s="11" t="str">
        <f t="shared" si="10"/>
        <v>4APR26</v>
      </c>
      <c r="M31" s="11" t="str">
        <f t="shared" si="5"/>
        <v>30</v>
      </c>
      <c r="N31" s="11" t="str">
        <f t="shared" si="6"/>
        <v>Pendrive (sandisk)</v>
      </c>
      <c r="O31" s="26" t="str">
        <f t="shared" si="7"/>
        <v>4</v>
      </c>
      <c r="P31" s="14" t="str">
        <f t="shared" si="11"/>
        <v>26</v>
      </c>
      <c r="Q31" s="12">
        <f t="shared" si="8"/>
        <v>4</v>
      </c>
      <c r="R31" s="28">
        <f t="shared" si="9"/>
        <v>9591</v>
      </c>
    </row>
    <row r="32" spans="1:18" ht="15.75" x14ac:dyDescent="0.25">
      <c r="C32"/>
    </row>
    <row r="36" spans="11:12" ht="15.75" x14ac:dyDescent="0.25">
      <c r="K36" s="27"/>
    </row>
    <row r="37" spans="11:12" ht="15.75" x14ac:dyDescent="0.25">
      <c r="L37" s="27"/>
    </row>
    <row r="38" spans="11:12" ht="15.75" x14ac:dyDescent="0.25">
      <c r="L38" s="27"/>
    </row>
  </sheetData>
  <conditionalFormatting sqref="F1:F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{CC8FC726-8522-44F4-BD7E-5BDABBF7B7F0}</x14:id>
        </ext>
      </extLst>
    </cfRule>
  </conditionalFormatting>
  <conditionalFormatting sqref="E1:E1048576">
    <cfRule type="cellIs" dxfId="35" priority="3" operator="equal">
      <formula>"Electronics"</formula>
    </cfRule>
    <cfRule type="cellIs" dxfId="36" priority="2" operator="equal">
      <formula>"Electronics"</formula>
    </cfRule>
    <cfRule type="cellIs" dxfId="37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8FC726-8522-44F4-BD7E-5BDABBF7B7F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</vt:lpstr>
      <vt:lpstr>HANDLING MISSING VALUES</vt:lpstr>
      <vt:lpstr>CORRECTED TEXT FORMATS</vt:lpstr>
      <vt:lpstr>REMOVING DUPLICATES</vt:lpstr>
      <vt:lpstr>SPLITTING AND MERGING</vt:lpstr>
      <vt:lpstr>NUMBER FORMATTING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Mamtha Santhosh Nuvesh</cp:lastModifiedBy>
  <dcterms:created xsi:type="dcterms:W3CDTF">2015-06-05T18:17:20Z</dcterms:created>
  <dcterms:modified xsi:type="dcterms:W3CDTF">2026-05-10T17:06:39Z</dcterms:modified>
</cp:coreProperties>
</file>